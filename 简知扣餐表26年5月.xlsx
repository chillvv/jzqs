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/>
  </bookViews>
  <sheets>
    <sheet name="客户主表" sheetId="1" r:id="rId1"/>
    <sheet name="今日订单表" sheetId="5" r:id="rId2"/>
    <sheet name="售后表" sheetId="3" r:id="rId3"/>
    <sheet name="Sheet1" sheetId="6" r:id="rId4"/>
  </sheets>
  <definedNames>
    <definedName name="_xlnm._FilterDatabase" localSheetId="0" hidden="1">客户主表!$A$1:$BK$399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<sst xmlns="http://schemas.openxmlformats.org/spreadsheetml/2006/main" count="1546" uniqueCount="731">
  <si>
    <t>序号</t>
  </si>
  <si>
    <t>会员姓名</t>
  </si>
  <si>
    <t>电话</t>
  </si>
  <si>
    <t>开卡日期</t>
  </si>
  <si>
    <t>过期日期</t>
  </si>
  <si>
    <t>金额</t>
  </si>
  <si>
    <t>餐数</t>
  </si>
  <si>
    <t>单价</t>
  </si>
  <si>
    <t>活动</t>
  </si>
  <si>
    <t>开卡</t>
  </si>
  <si>
    <t>续卡</t>
  </si>
  <si>
    <t>4月剩余餐数</t>
  </si>
  <si>
    <t>5月已用餐数</t>
  </si>
  <si>
    <t>5月剩余餐数</t>
  </si>
  <si>
    <t>剩余金额</t>
  </si>
  <si>
    <t>过期金额</t>
  </si>
  <si>
    <t>备注</t>
  </si>
  <si>
    <t>日期</t>
  </si>
  <si>
    <t>五</t>
  </si>
  <si>
    <t>六</t>
  </si>
  <si>
    <t>日</t>
  </si>
  <si>
    <t>一</t>
  </si>
  <si>
    <t>二</t>
  </si>
  <si>
    <t>三</t>
  </si>
  <si>
    <t>四</t>
  </si>
  <si>
    <t>刘震（兼职）</t>
  </si>
  <si>
    <t>销售</t>
  </si>
  <si>
    <t>杨帆（兼职）</t>
  </si>
  <si>
    <t>食材包装</t>
  </si>
  <si>
    <t>于海（兼职）</t>
  </si>
  <si>
    <t>人工水电</t>
  </si>
  <si>
    <t>吴正东（兼职）</t>
  </si>
  <si>
    <t>利润</t>
  </si>
  <si>
    <t>李成军（兼职）</t>
  </si>
  <si>
    <t>合计送餐</t>
  </si>
  <si>
    <t>梁娇</t>
  </si>
  <si>
    <t>竹子</t>
  </si>
  <si>
    <t>5月10号周六提醒客户用餐（提醒到5月30号）</t>
  </si>
  <si>
    <t>房租</t>
  </si>
  <si>
    <t>肖玥</t>
  </si>
  <si>
    <t>水电</t>
  </si>
  <si>
    <t>张旻玥</t>
  </si>
  <si>
    <t>蔡军</t>
  </si>
  <si>
    <t>申文勇</t>
  </si>
  <si>
    <t>季放</t>
  </si>
  <si>
    <t>王先生</t>
  </si>
  <si>
    <t>费用</t>
  </si>
  <si>
    <t>营业额</t>
  </si>
  <si>
    <t>占比</t>
  </si>
  <si>
    <t>黄梦瑶</t>
  </si>
  <si>
    <t>本月通勤22天</t>
  </si>
  <si>
    <t>尤杰</t>
  </si>
  <si>
    <t>实际每天成本</t>
  </si>
  <si>
    <t>陈功铭</t>
  </si>
  <si>
    <t>王双双</t>
  </si>
  <si>
    <t>刘伊菲</t>
  </si>
  <si>
    <t>向天</t>
  </si>
  <si>
    <t>阿拉然</t>
  </si>
  <si>
    <t>周紫丹</t>
  </si>
  <si>
    <t>郭驭睿</t>
  </si>
  <si>
    <t>崔庆垚</t>
  </si>
  <si>
    <t>2024.10.29（449.5，20）</t>
  </si>
  <si>
    <t>唐馨羽</t>
  </si>
  <si>
    <t>588三人拼团-100</t>
  </si>
  <si>
    <t>2024.11.1（488，20）</t>
  </si>
  <si>
    <t>微信营收</t>
  </si>
  <si>
    <t>支付宝营收</t>
  </si>
  <si>
    <t>合计</t>
  </si>
  <si>
    <t>5月销售</t>
  </si>
  <si>
    <t>距离80000差额</t>
  </si>
  <si>
    <t>张竞元</t>
  </si>
  <si>
    <t>2024.11.13（488，20）</t>
  </si>
  <si>
    <t>徐一苇</t>
  </si>
  <si>
    <t>899，40</t>
  </si>
  <si>
    <t>2024.11.19（899，40）</t>
  </si>
  <si>
    <t>张子慕</t>
  </si>
  <si>
    <t>2024.11.20（488，20）</t>
  </si>
  <si>
    <t>周子怡</t>
  </si>
  <si>
    <t>2024.11.22（488，20）</t>
  </si>
  <si>
    <t>付晨宇</t>
  </si>
  <si>
    <t>张嘉怡</t>
  </si>
  <si>
    <t>2024.11.26（488，20）</t>
  </si>
  <si>
    <t>吴玉诗</t>
  </si>
  <si>
    <t>2024.11.27（488，20）</t>
  </si>
  <si>
    <t>张宇婷</t>
  </si>
  <si>
    <t>999,40</t>
  </si>
  <si>
    <t>2024.12.10（999，40）</t>
  </si>
  <si>
    <t>何星宇</t>
  </si>
  <si>
    <t>999，40</t>
  </si>
  <si>
    <t>2025.2.13（999，40）</t>
  </si>
  <si>
    <t>杨阳</t>
  </si>
  <si>
    <t>2024.12.23（299，10）</t>
  </si>
  <si>
    <t>2025.2.18（488，20）</t>
  </si>
  <si>
    <t xml:space="preserve">李灵宣 </t>
  </si>
  <si>
    <t>凡峥</t>
  </si>
  <si>
    <t>11.15-8.15返100</t>
  </si>
  <si>
    <t>2025.2.28（588，20）</t>
  </si>
  <si>
    <t>2025.5.16（899，40）</t>
  </si>
  <si>
    <t>赵蒙</t>
  </si>
  <si>
    <t>12.15-9.15返100</t>
  </si>
  <si>
    <t>2025.7.1（899，40）</t>
  </si>
  <si>
    <t>熊宇凡</t>
  </si>
  <si>
    <t>588，20</t>
  </si>
  <si>
    <t>2025.7.25（588，20）</t>
  </si>
  <si>
    <t>李佳楠</t>
  </si>
  <si>
    <t>2025.7.12（588，20）</t>
  </si>
  <si>
    <t>2025.9.5（448，18）</t>
  </si>
  <si>
    <t>饶云飞</t>
  </si>
  <si>
    <t>2025.9.11（999，40）</t>
  </si>
  <si>
    <t>邱许越</t>
  </si>
  <si>
    <t>1999，90</t>
  </si>
  <si>
    <t>2025.9.14（1999，90）</t>
  </si>
  <si>
    <t>菜菜</t>
  </si>
  <si>
    <t>1999,90</t>
  </si>
  <si>
    <t>2024.9.20（1999，90）</t>
  </si>
  <si>
    <t>武体张琪琪</t>
  </si>
  <si>
    <t>2024.9.23（1999，90）</t>
  </si>
  <si>
    <t>丁先生</t>
  </si>
  <si>
    <t>1399，60</t>
  </si>
  <si>
    <t>2025.10.16（1399.60）</t>
  </si>
  <si>
    <t>汪浩鹏</t>
  </si>
  <si>
    <t>2025.10.17（588.20）</t>
  </si>
  <si>
    <t>夏博文</t>
  </si>
  <si>
    <t>2025.7.28（588，20）</t>
  </si>
  <si>
    <t>2025.10.21（999,40）</t>
  </si>
  <si>
    <t>徐伊茜</t>
  </si>
  <si>
    <t>538,22</t>
  </si>
  <si>
    <t>2025.4.13（588，20）</t>
  </si>
  <si>
    <t>2025.10.21（538，22）</t>
  </si>
  <si>
    <t>唐霜莹</t>
  </si>
  <si>
    <t>999，42</t>
  </si>
  <si>
    <t>2025.10.19（299，9）</t>
  </si>
  <si>
    <t>2025.10.22（999，42）</t>
  </si>
  <si>
    <t>momo</t>
  </si>
  <si>
    <t>788,30</t>
  </si>
  <si>
    <t>2025.10.26（788，30）</t>
  </si>
  <si>
    <t>胡泮</t>
  </si>
  <si>
    <t>2025.10.29（588.20）</t>
  </si>
  <si>
    <t>君君</t>
  </si>
  <si>
    <t>299,9</t>
  </si>
  <si>
    <t>2025.10.31（299，9）</t>
  </si>
  <si>
    <t>于冰倩</t>
  </si>
  <si>
    <t>788，32</t>
  </si>
  <si>
    <t>2025.10.12（299，11）</t>
  </si>
  <si>
    <t>2025.11,3（788，32）</t>
  </si>
  <si>
    <t>日辰</t>
  </si>
  <si>
    <t>500,20</t>
  </si>
  <si>
    <t>2025.10.9（500，20）</t>
  </si>
  <si>
    <t>2025.11,3（500，20）</t>
  </si>
  <si>
    <t xml:space="preserve">杨浪 </t>
  </si>
  <si>
    <t>2025.11,3（1999，90）</t>
  </si>
  <si>
    <t>吴迎迎</t>
  </si>
  <si>
    <t>2025.11.6（788，30）</t>
  </si>
  <si>
    <t>王许</t>
  </si>
  <si>
    <t>1399，63</t>
  </si>
  <si>
    <t>2025.10.21（299，11）</t>
  </si>
  <si>
    <t>2025.11.9（1399，63）</t>
  </si>
  <si>
    <t>叶果</t>
  </si>
  <si>
    <t>2025.11.10（788,30）</t>
  </si>
  <si>
    <t>苏月玲</t>
  </si>
  <si>
    <t>588,20</t>
  </si>
  <si>
    <t>2025.11.10（588，20）</t>
  </si>
  <si>
    <t>吴浩煊</t>
  </si>
  <si>
    <t>充2000返1000代金券</t>
  </si>
  <si>
    <t>2025.9.1（450，19）</t>
  </si>
  <si>
    <t>2025.11.11（1999，90）</t>
  </si>
  <si>
    <t>胡家睿</t>
  </si>
  <si>
    <t>2025.11.13（299，9）</t>
  </si>
  <si>
    <t>张萌</t>
  </si>
  <si>
    <t>2025.11.16（788,30）</t>
  </si>
  <si>
    <t>袁磊</t>
  </si>
  <si>
    <t>2025.11.21（588，20）</t>
  </si>
  <si>
    <t>杨思懿</t>
  </si>
  <si>
    <t>2025.11.23（999，40）</t>
  </si>
  <si>
    <t>丁玥</t>
  </si>
  <si>
    <t>2025.11.7（299，9）</t>
  </si>
  <si>
    <t>2025.12.7（588，20）</t>
  </si>
  <si>
    <t>Yuki</t>
  </si>
  <si>
    <t>960，40</t>
  </si>
  <si>
    <t>2025.12.2（960，40）</t>
  </si>
  <si>
    <t>李佳仪</t>
  </si>
  <si>
    <t>2025.10.17（488.22）</t>
  </si>
  <si>
    <t>2026.4.17（488.20）</t>
  </si>
  <si>
    <t>心竹</t>
  </si>
  <si>
    <t>2025.12.21（299，9）</t>
  </si>
  <si>
    <t>李超月</t>
  </si>
  <si>
    <t>2025.11.21（999，40）</t>
  </si>
  <si>
    <t>2026.1.3（999，40）</t>
  </si>
  <si>
    <t>邱凡</t>
  </si>
  <si>
    <t>788，30</t>
  </si>
  <si>
    <t>2025.10.13（999，40）</t>
  </si>
  <si>
    <t>2026.1.12（788，30）</t>
  </si>
  <si>
    <t>沁沁</t>
  </si>
  <si>
    <t>1399,60</t>
  </si>
  <si>
    <t>2026.1.13（1399，60）</t>
  </si>
  <si>
    <t>冯艳丽</t>
  </si>
  <si>
    <t>499，22</t>
  </si>
  <si>
    <t>2026.1.13（499，22）</t>
  </si>
  <si>
    <t>黑太阳</t>
  </si>
  <si>
    <t>2026.1.14（588，20）</t>
  </si>
  <si>
    <t>郑强</t>
  </si>
  <si>
    <t>2026.1.15（499，22）</t>
  </si>
  <si>
    <t>余先生</t>
  </si>
  <si>
    <t>2026.1.15（788，30）</t>
  </si>
  <si>
    <t>guria</t>
  </si>
  <si>
    <t>2026.1.19（299，9）</t>
  </si>
  <si>
    <t>小芽</t>
  </si>
  <si>
    <t>2026.1.22（588，20）</t>
  </si>
  <si>
    <t>刘歆妤</t>
  </si>
  <si>
    <t>2025.9.26（299，9）</t>
  </si>
  <si>
    <t>2026.1.26（788，30）</t>
  </si>
  <si>
    <t>张紫诺</t>
  </si>
  <si>
    <t>2026.3.4（738，30）</t>
  </si>
  <si>
    <t>季子禾</t>
  </si>
  <si>
    <t>2026.3.4（299，11）</t>
  </si>
  <si>
    <t>2026.4.1（738，30）</t>
  </si>
  <si>
    <t>杨曦若</t>
  </si>
  <si>
    <t>538,20</t>
  </si>
  <si>
    <t>2026.3.4（538，20）</t>
  </si>
  <si>
    <t>吕芷萱</t>
  </si>
  <si>
    <t>2026.3.4（1999，90）</t>
  </si>
  <si>
    <t>彭雪</t>
  </si>
  <si>
    <t>768,30</t>
  </si>
  <si>
    <t>2026.3.4（768，30）</t>
  </si>
  <si>
    <t>姣姣</t>
  </si>
  <si>
    <t>299,11</t>
  </si>
  <si>
    <t>周怡欣敏</t>
  </si>
  <si>
    <t>吕涵</t>
  </si>
  <si>
    <t>2025.10.9（299，11）</t>
  </si>
  <si>
    <t>辛辛</t>
  </si>
  <si>
    <t>2026.3.5（588，20）</t>
  </si>
  <si>
    <t>车干</t>
  </si>
  <si>
    <t>738，30</t>
  </si>
  <si>
    <t>2026.3.5（738，30）</t>
  </si>
  <si>
    <t xml:space="preserve">赵紫辰 </t>
  </si>
  <si>
    <t>500，20</t>
  </si>
  <si>
    <t>2026.3.5（500，20）</t>
  </si>
  <si>
    <t>乔西</t>
  </si>
  <si>
    <t>endes</t>
  </si>
  <si>
    <t>张然</t>
  </si>
  <si>
    <t>488，20</t>
  </si>
  <si>
    <t>2026.3.7（488，20）</t>
  </si>
  <si>
    <t>熊熊</t>
  </si>
  <si>
    <t xml:space="preserve">殷姿姿 </t>
  </si>
  <si>
    <t>2026.3.9（788，30）</t>
  </si>
  <si>
    <t>杏仁</t>
  </si>
  <si>
    <t>2026.3.9（588，20）</t>
  </si>
  <si>
    <t xml:space="preserve"> 好饿</t>
  </si>
  <si>
    <t>2026.1.20（299，9）</t>
  </si>
  <si>
    <t>吴婧</t>
  </si>
  <si>
    <t>2026.3.12（788，30）</t>
  </si>
  <si>
    <t>林大牛二</t>
  </si>
  <si>
    <t>2026.3.4（588，20）</t>
  </si>
  <si>
    <t>2026.6.2（1999，90）</t>
  </si>
  <si>
    <t xml:space="preserve">董洁心 </t>
  </si>
  <si>
    <t>2025.12.11（299，9）</t>
  </si>
  <si>
    <t xml:space="preserve">乘乘    </t>
  </si>
  <si>
    <t>2026.3.16（299，9）</t>
  </si>
  <si>
    <t>王紫颖</t>
  </si>
  <si>
    <t>2026.4.7（488，20）</t>
  </si>
  <si>
    <t>温曦</t>
  </si>
  <si>
    <t>2025.10.10（299，11）</t>
  </si>
  <si>
    <t>2025.3.15（788，30）</t>
  </si>
  <si>
    <t>汤书民</t>
  </si>
  <si>
    <t>2026.1.7（299，9）</t>
  </si>
  <si>
    <t>2026.3.17（788，30）</t>
  </si>
  <si>
    <t>王一诺</t>
  </si>
  <si>
    <t>299，9</t>
  </si>
  <si>
    <t>2026.3.18（299，9）</t>
  </si>
  <si>
    <t>郑鹏凯</t>
  </si>
  <si>
    <t>2026.3.18（588，20）</t>
  </si>
  <si>
    <t>张瀚</t>
  </si>
  <si>
    <t>2026.3.20（788，30）</t>
  </si>
  <si>
    <t>梅粮薪</t>
  </si>
  <si>
    <t>2026.3.24（488，20）</t>
  </si>
  <si>
    <t>培训学校胡姐姐</t>
  </si>
  <si>
    <t>488，22</t>
  </si>
  <si>
    <t>2026.3.24（488，22）</t>
  </si>
  <si>
    <t>清水</t>
  </si>
  <si>
    <t>788,32</t>
  </si>
  <si>
    <t>2025.12.9（299，9）</t>
  </si>
  <si>
    <t>2025.3.24（788，32）</t>
  </si>
  <si>
    <t>涵涵</t>
  </si>
  <si>
    <t>2026.3.10（299，11）</t>
  </si>
  <si>
    <t>2026.3.26（488，20）</t>
  </si>
  <si>
    <t>赵小雨</t>
  </si>
  <si>
    <t>2026.3.27（588，20）</t>
  </si>
  <si>
    <t>丁林林</t>
  </si>
  <si>
    <t>2026.4.1（488，20）</t>
  </si>
  <si>
    <t>晨晨</t>
  </si>
  <si>
    <t>2026.3.23（488，20）</t>
  </si>
  <si>
    <t>2026.3.21（788，30）</t>
  </si>
  <si>
    <t>离谱</t>
  </si>
  <si>
    <t>丁碧莲</t>
  </si>
  <si>
    <t>976，40</t>
  </si>
  <si>
    <t>2026.4.10（976，40）</t>
  </si>
  <si>
    <t>李亚轩</t>
  </si>
  <si>
    <t>吕晨</t>
  </si>
  <si>
    <t>488，21</t>
  </si>
  <si>
    <t>2026.4.7（488，21）</t>
  </si>
  <si>
    <t>徐新如</t>
  </si>
  <si>
    <t>王哈哈</t>
  </si>
  <si>
    <t>悠悠</t>
  </si>
  <si>
    <t>张淼</t>
  </si>
  <si>
    <t>970，40</t>
  </si>
  <si>
    <t>2026.3.12（488，20）</t>
  </si>
  <si>
    <t>2026.4.12（970，40）</t>
  </si>
  <si>
    <t>陈诚</t>
  </si>
  <si>
    <t>小程</t>
  </si>
  <si>
    <t>郭旻嘉</t>
  </si>
  <si>
    <t>刘安安</t>
  </si>
  <si>
    <t>李怀幸</t>
  </si>
  <si>
    <t xml:space="preserve">王啸坤 </t>
  </si>
  <si>
    <t>程文博</t>
  </si>
  <si>
    <t>刘思涵</t>
  </si>
  <si>
    <t>退款300元</t>
  </si>
  <si>
    <t>周星泽</t>
  </si>
  <si>
    <t>2026.4.7（976，42）</t>
  </si>
  <si>
    <t>王小兵</t>
  </si>
  <si>
    <t>周弯</t>
  </si>
  <si>
    <t xml:space="preserve">杨淇森 </t>
  </si>
  <si>
    <t>2025.11.9（288，12）</t>
  </si>
  <si>
    <t>马梦阳</t>
  </si>
  <si>
    <t>勇敢的山楂</t>
  </si>
  <si>
    <t>2026.4.11（299，9）</t>
  </si>
  <si>
    <t>2026.1.3（588，20）</t>
  </si>
  <si>
    <t>夏玉冰</t>
  </si>
  <si>
    <t>李煜</t>
  </si>
  <si>
    <t>陆虎</t>
  </si>
  <si>
    <t>刘彪</t>
  </si>
  <si>
    <t>盛有志</t>
  </si>
  <si>
    <t>顾盼</t>
  </si>
  <si>
    <t>2026.1.14（499，22）</t>
  </si>
  <si>
    <t>2026.4.20（1145，50）</t>
  </si>
  <si>
    <t xml:space="preserve">刘馨圆    </t>
  </si>
  <si>
    <t xml:space="preserve"> 佟柯</t>
  </si>
  <si>
    <t>2026.4.10（488，20）</t>
  </si>
  <si>
    <t>海苔脆脆鲨</t>
  </si>
  <si>
    <t>2026.4.8（588，20）</t>
  </si>
  <si>
    <t xml:space="preserve">慧慧 </t>
  </si>
  <si>
    <t>2026.3.16（488，20）</t>
  </si>
  <si>
    <t>2026.4.12（488，20）</t>
  </si>
  <si>
    <t>胡消消</t>
  </si>
  <si>
    <t>2026.3.8（488，20）</t>
  </si>
  <si>
    <t>2026.4.9（488，20）</t>
  </si>
  <si>
    <t>许澄澄</t>
  </si>
  <si>
    <t>2026.4.10（788，30）</t>
  </si>
  <si>
    <t>周能力</t>
  </si>
  <si>
    <t>周诗懿</t>
  </si>
  <si>
    <t>2026.4.20（488，20）</t>
  </si>
  <si>
    <t>何梓键</t>
  </si>
  <si>
    <t>向奕</t>
  </si>
  <si>
    <t>2026.4.23（488，20）</t>
  </si>
  <si>
    <t>黄湾</t>
  </si>
  <si>
    <t>2026.5.15（488，20）</t>
  </si>
  <si>
    <t>艾伦</t>
  </si>
  <si>
    <t>If</t>
  </si>
  <si>
    <t>2026.5.7（488，20）</t>
  </si>
  <si>
    <t>彭锦</t>
  </si>
  <si>
    <t>胡飞雪</t>
  </si>
  <si>
    <t>张紫薇</t>
  </si>
  <si>
    <t>李乐</t>
  </si>
  <si>
    <t>管诗涵</t>
  </si>
  <si>
    <t>2026.4.12（299，9）</t>
  </si>
  <si>
    <t>彭建祎</t>
  </si>
  <si>
    <t>万圳</t>
  </si>
  <si>
    <t>2026.4.14（488，20）</t>
  </si>
  <si>
    <t>赵玉辉</t>
  </si>
  <si>
    <t>王雅思</t>
  </si>
  <si>
    <t>张婉玉</t>
  </si>
  <si>
    <t xml:space="preserve">谢佳怡 </t>
  </si>
  <si>
    <t>2026.4.14（788，30）</t>
  </si>
  <si>
    <t>李紫萱</t>
  </si>
  <si>
    <t>2025.9.3（999，40）</t>
  </si>
  <si>
    <t>2026.4.12（999，42）</t>
  </si>
  <si>
    <t>程斯</t>
  </si>
  <si>
    <t>2026.4.18（488，20）</t>
  </si>
  <si>
    <t>张小姜</t>
  </si>
  <si>
    <t>2026.4.13（488，20）</t>
  </si>
  <si>
    <t>姜小张</t>
  </si>
  <si>
    <t>陈旭</t>
  </si>
  <si>
    <t>冷冷</t>
  </si>
  <si>
    <t>付艺</t>
  </si>
  <si>
    <t>2026.3.25（488，20）</t>
  </si>
  <si>
    <t>剩余8餐换成保温袋</t>
  </si>
  <si>
    <t>张玺</t>
  </si>
  <si>
    <t>高先生</t>
  </si>
  <si>
    <t>2026.3.10（738，30）</t>
  </si>
  <si>
    <t>2026.4.13（1399，62）</t>
  </si>
  <si>
    <t>赵静方</t>
  </si>
  <si>
    <t>2026.4.15（488，20）</t>
  </si>
  <si>
    <t>劳心怡</t>
  </si>
  <si>
    <t>2026.4.16（488，20）</t>
  </si>
  <si>
    <t>岳女士</t>
  </si>
  <si>
    <t>780，32</t>
  </si>
  <si>
    <t>2026.3.6（738，30）</t>
  </si>
  <si>
    <t>2026.4.16（780，32）</t>
  </si>
  <si>
    <t xml:space="preserve">杨洋 </t>
  </si>
  <si>
    <t>彭晓晓</t>
  </si>
  <si>
    <t>2026.4.19（488，20）</t>
  </si>
  <si>
    <t>能能</t>
  </si>
  <si>
    <t>2025.7.20（999，40）</t>
  </si>
  <si>
    <t>2026.4.14（688，30）</t>
  </si>
  <si>
    <t>Suki</t>
  </si>
  <si>
    <t>2026.4.16（788，30）</t>
  </si>
  <si>
    <t>李宣</t>
  </si>
  <si>
    <t>孟子皓</t>
  </si>
  <si>
    <t>2026.4.16（788，32）</t>
  </si>
  <si>
    <t>何文慧</t>
  </si>
  <si>
    <t>陈淼</t>
  </si>
  <si>
    <t>2026.5.1（488，20）</t>
  </si>
  <si>
    <t>李偲</t>
  </si>
  <si>
    <t>2026.4.1（299，9）</t>
  </si>
  <si>
    <t>黄子倩</t>
  </si>
  <si>
    <t xml:space="preserve">李霖珅 </t>
  </si>
  <si>
    <t>徐萌</t>
  </si>
  <si>
    <t>2026.4.22（488，20）</t>
  </si>
  <si>
    <t>唐唐</t>
  </si>
  <si>
    <t>2025.12.14（299，12）</t>
  </si>
  <si>
    <t>张文婷</t>
  </si>
  <si>
    <t>林云</t>
  </si>
  <si>
    <t>詹梓萱</t>
  </si>
  <si>
    <t>2026.4.24（488，20）</t>
  </si>
  <si>
    <t>王智函</t>
  </si>
  <si>
    <t>杨梦喜</t>
  </si>
  <si>
    <t>朱基米德</t>
  </si>
  <si>
    <t>倪莎</t>
  </si>
  <si>
    <t>舒玉娇</t>
  </si>
  <si>
    <t>田苗苗</t>
  </si>
  <si>
    <t>1999，91</t>
  </si>
  <si>
    <t>2024.11.15（999，40）</t>
  </si>
  <si>
    <t>2025.11.1（788，30）</t>
  </si>
  <si>
    <t>徐紫琴</t>
  </si>
  <si>
    <t>黄杏</t>
  </si>
  <si>
    <t>2026.4.25（488，20）</t>
  </si>
  <si>
    <t>谢春华</t>
  </si>
  <si>
    <t>2026.4.28（488，20）</t>
  </si>
  <si>
    <t>郐鑫彤</t>
  </si>
  <si>
    <t>2026.4.14（299，9）</t>
  </si>
  <si>
    <t>2026.4.24（588，20）</t>
  </si>
  <si>
    <t>程维佳</t>
  </si>
  <si>
    <t>2026.4.21（488，20）</t>
  </si>
  <si>
    <t xml:space="preserve">张小涵 </t>
  </si>
  <si>
    <t>郭清扬</t>
  </si>
  <si>
    <t>黎小黎</t>
  </si>
  <si>
    <t>退卡9餐219.6</t>
  </si>
  <si>
    <t>贝贝</t>
  </si>
  <si>
    <t>戴小星</t>
  </si>
  <si>
    <t>陈诗琪</t>
  </si>
  <si>
    <t>罗医生</t>
  </si>
  <si>
    <t>2025.7.28（999，40）</t>
  </si>
  <si>
    <t>晓晓</t>
  </si>
  <si>
    <t>何佳文</t>
  </si>
  <si>
    <t>夏蝶</t>
  </si>
  <si>
    <t>唐诗音</t>
  </si>
  <si>
    <t>霹雳少女</t>
  </si>
  <si>
    <t>朱美陶</t>
  </si>
  <si>
    <t>冯鑫</t>
  </si>
  <si>
    <t>星星</t>
  </si>
  <si>
    <t>2025.12.1（299，9）</t>
  </si>
  <si>
    <t>易仕亮</t>
  </si>
  <si>
    <t>张驰</t>
  </si>
  <si>
    <t>李木子</t>
  </si>
  <si>
    <t>彭新伟</t>
  </si>
  <si>
    <t>郑薇</t>
  </si>
  <si>
    <t>杨哲轩</t>
  </si>
  <si>
    <t>2026.4.25（788，30）</t>
  </si>
  <si>
    <t>刘佳兰</t>
  </si>
  <si>
    <t>2026.4.27（488，20）</t>
  </si>
  <si>
    <t>胡紫瑜</t>
  </si>
  <si>
    <t>唐女士</t>
  </si>
  <si>
    <t>彬彬</t>
  </si>
  <si>
    <t>彭丽婷</t>
  </si>
  <si>
    <t>2025.11,3（299，9）</t>
  </si>
  <si>
    <t>2026.4.27（788，30）</t>
  </si>
  <si>
    <t>陈萌萌</t>
  </si>
  <si>
    <t>刘航</t>
  </si>
  <si>
    <t>奈奈</t>
  </si>
  <si>
    <t>马雪</t>
  </si>
  <si>
    <t>程心</t>
  </si>
  <si>
    <t>龚科</t>
  </si>
  <si>
    <t>宁泞</t>
  </si>
  <si>
    <t>2026.3.4（999，40）</t>
  </si>
  <si>
    <t>2026.4.27（999，40）</t>
  </si>
  <si>
    <t>张玲</t>
  </si>
  <si>
    <t>2026.4.30（488，20）</t>
  </si>
  <si>
    <t>顾萌兮</t>
  </si>
  <si>
    <t>郑雨桐</t>
  </si>
  <si>
    <t>2026.3.29（488，20）</t>
  </si>
  <si>
    <t>2026.4.29（488，20）</t>
  </si>
  <si>
    <t>黄曼曼</t>
  </si>
  <si>
    <t>涂子灵</t>
  </si>
  <si>
    <t>14餐退卡341.6</t>
  </si>
  <si>
    <t>蔡小葵</t>
  </si>
  <si>
    <t>叶子</t>
  </si>
  <si>
    <t>2026.5.6（488，20）</t>
  </si>
  <si>
    <t>王潇悦</t>
  </si>
  <si>
    <t>2026.5.13（488，20）</t>
  </si>
  <si>
    <t>何妙妍</t>
  </si>
  <si>
    <t>曾婕妤</t>
  </si>
  <si>
    <t>黄芳</t>
  </si>
  <si>
    <t>荷包蛋</t>
  </si>
  <si>
    <t>应雨默</t>
  </si>
  <si>
    <t>2025.9.2（999.42）</t>
  </si>
  <si>
    <t>2025.5.6（488，20）</t>
  </si>
  <si>
    <t>张勇龙</t>
  </si>
  <si>
    <t>曾子力</t>
  </si>
  <si>
    <t>童伟豪</t>
  </si>
  <si>
    <t>袁爽</t>
  </si>
  <si>
    <t>王孛</t>
  </si>
  <si>
    <t>刘红丽</t>
  </si>
  <si>
    <t>徐欢</t>
  </si>
  <si>
    <t>李李李</t>
  </si>
  <si>
    <t>王慧杰</t>
  </si>
  <si>
    <t>Eason</t>
  </si>
  <si>
    <t>张紫郡</t>
  </si>
  <si>
    <t>李鸿烨</t>
  </si>
  <si>
    <t>劳拉</t>
  </si>
  <si>
    <t>川页</t>
  </si>
  <si>
    <t xml:space="preserve">彭晶 </t>
  </si>
  <si>
    <t>段殷锦</t>
  </si>
  <si>
    <t>杨小维</t>
  </si>
  <si>
    <t>陈科宇</t>
  </si>
  <si>
    <t>七友</t>
  </si>
  <si>
    <t>2025.5.6（976，42）</t>
  </si>
  <si>
    <t>黄显惠</t>
  </si>
  <si>
    <t>冯先生</t>
  </si>
  <si>
    <t>杨桃</t>
  </si>
  <si>
    <t>2025.5.7（976，40）</t>
  </si>
  <si>
    <t>小鱼</t>
  </si>
  <si>
    <t>孟滕</t>
  </si>
  <si>
    <t xml:space="preserve">刘芊芊
</t>
  </si>
  <si>
    <t>2025.3.9（299，9）</t>
  </si>
  <si>
    <t>2025.5.6（788，32）</t>
  </si>
  <si>
    <t>童格</t>
  </si>
  <si>
    <t>陈静</t>
  </si>
  <si>
    <t>刘思函</t>
  </si>
  <si>
    <t>杨梦</t>
  </si>
  <si>
    <t>李诗妍</t>
  </si>
  <si>
    <t xml:space="preserve">高乾豪 </t>
  </si>
  <si>
    <t xml:space="preserve">詹笠 </t>
  </si>
  <si>
    <t>蔡菜</t>
  </si>
  <si>
    <t>吴昕怡</t>
  </si>
  <si>
    <t>陈雪颖</t>
  </si>
  <si>
    <t>王芷婷</t>
  </si>
  <si>
    <t>2025.5.6（299，9）</t>
  </si>
  <si>
    <t>亦一</t>
  </si>
  <si>
    <t xml:space="preserve">杨婉婷 </t>
  </si>
  <si>
    <t>夏帆</t>
  </si>
  <si>
    <t>何贝贝</t>
  </si>
  <si>
    <t>熊子卉</t>
  </si>
  <si>
    <t xml:space="preserve">Tulip </t>
  </si>
  <si>
    <t>陈惠娜</t>
  </si>
  <si>
    <t>易芷渲</t>
  </si>
  <si>
    <t>来回</t>
  </si>
  <si>
    <t>马先生</t>
  </si>
  <si>
    <t>2025.5.7（588，20）</t>
  </si>
  <si>
    <t>伍方宁</t>
  </si>
  <si>
    <t>李kk</t>
  </si>
  <si>
    <t>2026.5.10（488，20）</t>
  </si>
  <si>
    <t>小苏</t>
  </si>
  <si>
    <t>2025.6.6（976，40）</t>
  </si>
  <si>
    <t>郭雅琪</t>
  </si>
  <si>
    <t>2026.5.6（1999,90）</t>
  </si>
  <si>
    <t>荣佳慧</t>
  </si>
  <si>
    <t>480，20</t>
  </si>
  <si>
    <t>2025.5.6（480，20）</t>
  </si>
  <si>
    <t>袁芳</t>
  </si>
  <si>
    <t>吴爽</t>
  </si>
  <si>
    <t>480，22</t>
  </si>
  <si>
    <t>2025.5.6（480，22）</t>
  </si>
  <si>
    <t>曾麟凯</t>
  </si>
  <si>
    <t>2025.5.7（488，20）</t>
  </si>
  <si>
    <t>荣荣</t>
  </si>
  <si>
    <t>龟龟</t>
  </si>
  <si>
    <t>2025.5.7（788，30）</t>
  </si>
  <si>
    <t>徐韦玲</t>
  </si>
  <si>
    <t xml:space="preserve">刘洪希 </t>
  </si>
  <si>
    <t>2025.5.8（488，20）</t>
  </si>
  <si>
    <t>李思</t>
  </si>
  <si>
    <t>李若楠</t>
  </si>
  <si>
    <t>2025.5.8（788，30）</t>
  </si>
  <si>
    <t>覃丽妹</t>
  </si>
  <si>
    <t>冯梓毅</t>
  </si>
  <si>
    <t>马冬</t>
  </si>
  <si>
    <t>马璇</t>
  </si>
  <si>
    <t>李明</t>
  </si>
  <si>
    <t>阿倪</t>
  </si>
  <si>
    <t>周舒</t>
  </si>
  <si>
    <t>2025.5.9（299，11）</t>
  </si>
  <si>
    <t>魏君翰</t>
  </si>
  <si>
    <t>李青青</t>
  </si>
  <si>
    <t>2025.5.8（299，9）</t>
  </si>
  <si>
    <t xml:space="preserve">刘香怡
</t>
  </si>
  <si>
    <t>7.15-4.15返100</t>
  </si>
  <si>
    <t>2025.2.22（960，40）</t>
  </si>
  <si>
    <t>2026.5.8（488，21）</t>
  </si>
  <si>
    <t>芋头</t>
  </si>
  <si>
    <t>2026.5.8（488，20）</t>
  </si>
  <si>
    <t>王湘</t>
  </si>
  <si>
    <t>2025.6.6（488，20）</t>
  </si>
  <si>
    <t>邹白白</t>
  </si>
  <si>
    <t>2026.5.12（488，20）</t>
  </si>
  <si>
    <t>何蝶</t>
  </si>
  <si>
    <t>唐心</t>
  </si>
  <si>
    <t>2026.5.14（488，20）</t>
  </si>
  <si>
    <t>周小</t>
  </si>
  <si>
    <t>2026.5.11（488，20）</t>
  </si>
  <si>
    <t>龙坤宇</t>
  </si>
  <si>
    <t>余林潮</t>
  </si>
  <si>
    <t>杨渝</t>
  </si>
  <si>
    <t>绝望的麻薯</t>
  </si>
  <si>
    <t>雷晓蓉</t>
  </si>
  <si>
    <t>兔子</t>
  </si>
  <si>
    <t>王杰希</t>
  </si>
  <si>
    <t>张琪</t>
  </si>
  <si>
    <t>2025.9.26（999，40）</t>
  </si>
  <si>
    <t>2026.5.15（788，30）</t>
  </si>
  <si>
    <t>田幸子</t>
  </si>
  <si>
    <t>周心宇</t>
  </si>
  <si>
    <t>段天意</t>
  </si>
  <si>
    <t>盛致瑞</t>
  </si>
  <si>
    <t>段骏宇</t>
  </si>
  <si>
    <t>徐筱婷</t>
  </si>
  <si>
    <t>艺帆</t>
  </si>
  <si>
    <t>小王</t>
  </si>
  <si>
    <t>杨子琦</t>
  </si>
  <si>
    <t>吴迪</t>
  </si>
  <si>
    <t>高安旭</t>
  </si>
  <si>
    <t>杨杨</t>
  </si>
  <si>
    <t>陈晓雯</t>
  </si>
  <si>
    <t>赵娇</t>
  </si>
  <si>
    <t>韦柯如</t>
  </si>
  <si>
    <t>李雨童</t>
  </si>
  <si>
    <t>猪猪</t>
  </si>
  <si>
    <t>杨思远</t>
  </si>
  <si>
    <t>谢周欣悦</t>
  </si>
  <si>
    <t>程瑶</t>
  </si>
  <si>
    <t>江淮</t>
  </si>
  <si>
    <t>蕾蕾</t>
  </si>
  <si>
    <t>袁嘻嘻</t>
  </si>
  <si>
    <t>2026.5.18（488，20）</t>
  </si>
  <si>
    <t>胡蝶</t>
  </si>
  <si>
    <t>小敏</t>
  </si>
  <si>
    <t>孔繁瑞</t>
  </si>
  <si>
    <t>788，31</t>
  </si>
  <si>
    <t>2026.5.16（788，31）</t>
  </si>
  <si>
    <t>邓晔</t>
  </si>
  <si>
    <t>谢婷婷</t>
  </si>
  <si>
    <t>赵文君</t>
  </si>
  <si>
    <t>罐头</t>
  </si>
  <si>
    <t>2026.3.18（788，30）</t>
  </si>
  <si>
    <t>2026.5.18（788，31）</t>
  </si>
  <si>
    <t>林温柔</t>
  </si>
  <si>
    <t>李宁</t>
  </si>
  <si>
    <t>陈聪</t>
  </si>
  <si>
    <t xml:space="preserve">李怡 </t>
  </si>
  <si>
    <t>付一</t>
  </si>
  <si>
    <t>余璐</t>
  </si>
  <si>
    <t>2026.5.13（299，9）</t>
  </si>
  <si>
    <t>曾炳然</t>
  </si>
  <si>
    <t>谈栗</t>
  </si>
  <si>
    <t>伍小宝</t>
  </si>
  <si>
    <t>易思宇</t>
  </si>
  <si>
    <t>张颜</t>
  </si>
  <si>
    <t>耿先生</t>
  </si>
  <si>
    <t>胡景琦</t>
  </si>
  <si>
    <t>黄鑫</t>
  </si>
  <si>
    <t>刘静</t>
  </si>
  <si>
    <t>江城子</t>
  </si>
  <si>
    <t>葡萄柚</t>
  </si>
  <si>
    <t>江珊</t>
  </si>
  <si>
    <t>何倩茹</t>
  </si>
  <si>
    <t>2026.5.15（788，32）</t>
  </si>
  <si>
    <t>辞旧</t>
  </si>
  <si>
    <t>文超</t>
  </si>
  <si>
    <t>郑晶晶</t>
  </si>
  <si>
    <t>徐元媛</t>
  </si>
  <si>
    <t>2026.5.16（488，20）</t>
  </si>
  <si>
    <t>高</t>
  </si>
  <si>
    <t>高乾豪</t>
  </si>
  <si>
    <t>谈</t>
  </si>
  <si>
    <t>陈</t>
  </si>
  <si>
    <t>杨婉婷</t>
  </si>
  <si>
    <t>李怡</t>
  </si>
  <si>
    <t>汤饿死了</t>
  </si>
  <si>
    <t>夏女士</t>
  </si>
  <si>
    <t>龟</t>
  </si>
  <si>
    <t>张老师</t>
  </si>
  <si>
    <t>郭</t>
  </si>
  <si>
    <t>刘馨圆</t>
  </si>
  <si>
    <t>损失累计</t>
  </si>
  <si>
    <t>损失餐数</t>
  </si>
  <si>
    <t>原因</t>
  </si>
  <si>
    <t>王晓悦</t>
  </si>
  <si>
    <t>推荐好友赠送1餐</t>
  </si>
  <si>
    <t>5月0餐</t>
  </si>
  <si>
    <t>送餐晚，赠送一瓶果蔬汁</t>
  </si>
  <si>
    <t>吃到头发，赠送一餐，加一瓶果蔬汁</t>
  </si>
  <si>
    <t>吃到异物，赠送2餐</t>
  </si>
  <si>
    <t>送餐晚，赠送果蔬汁</t>
  </si>
  <si>
    <t>刘芊芊</t>
  </si>
  <si>
    <t>漏餐，赠送一瓶果蔬汁</t>
  </si>
  <si>
    <t>夹生饭，赠送一瓶果蔬汁</t>
  </si>
  <si>
    <t>推荐好友赠送4餐</t>
  </si>
  <si>
    <t>胡姐姐</t>
  </si>
  <si>
    <t>餐带走，赠送果蔬汁</t>
  </si>
  <si>
    <t>送错餐，赠送果蔬汁</t>
  </si>
  <si>
    <t>送餐晚</t>
  </si>
  <si>
    <t>米饭上有头发，赠送一瓶果蔬汁</t>
  </si>
  <si>
    <t>吃到东西，赠送果蔬汁</t>
  </si>
  <si>
    <t>赵紫辰</t>
  </si>
  <si>
    <t>吃到塑料，赠送1餐</t>
  </si>
  <si>
    <t>慧慧</t>
  </si>
  <si>
    <t>张弛</t>
  </si>
  <si>
    <t>胡女士</t>
  </si>
  <si>
    <t>无电话</t>
  </si>
  <si>
    <t>水</t>
  </si>
  <si>
    <t>岳</t>
  </si>
  <si>
    <t>纱</t>
  </si>
  <si>
    <t>孟</t>
  </si>
  <si>
    <t>小爽</t>
  </si>
  <si>
    <t>奈</t>
  </si>
  <si>
    <t>佟柯</t>
  </si>
  <si>
    <t>杨淇森</t>
  </si>
  <si>
    <t>马</t>
  </si>
  <si>
    <t>袁</t>
  </si>
  <si>
    <t xml:space="preserve">18507142877
</t>
  </si>
  <si>
    <t>刘</t>
  </si>
  <si>
    <t>李</t>
  </si>
  <si>
    <t>邹黎阳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</si>
</sst>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);[Red]\(0.00\)"/>
    <numFmt numFmtId="178" formatCode="0.0_);[Red]\(0.0\)"/>
    <numFmt numFmtId="179" formatCode="0_);[Red]\(0\)"/>
    <numFmt numFmtId="180" formatCode="0.00_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黑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sz val="11"/>
      <color rgb="FFFF0000"/>
      <name val="黑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黑体"/>
      <charset val="134"/>
    </font>
    <font>
      <sz val="11"/>
      <color rgb="FFFF0000"/>
      <name val="宋体"/>
      <charset val="134"/>
    </font>
    <font>
      <sz val="11"/>
      <color rgb="FF000000"/>
      <name val="Calibri"/>
      <charset val="0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8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3" fillId="10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14" fontId="3" fillId="0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/>
    </xf>
    <xf numFmtId="0" fontId="0" fillId="0" borderId="0" xfId="0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  <xf numFmtId="9" fontId="1" fillId="4" borderId="2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8" fontId="5" fillId="0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9" fontId="1" fillId="0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9" fontId="1" fillId="5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9" fontId="1" fillId="6" borderId="2" xfId="0" applyNumberFormat="1" applyFont="1" applyFill="1" applyBorder="1" applyAlignment="1">
      <alignment horizontal="center" vertical="center"/>
    </xf>
    <xf numFmtId="179" fontId="1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 wrapText="1"/>
    </xf>
    <xf numFmtId="14" fontId="7" fillId="0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4" fontId="5" fillId="0" borderId="2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180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178" fontId="11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80" fontId="5" fillId="0" borderId="2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7" fillId="0" borderId="2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180" fontId="7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/>
      <protection locked="0"/>
    </xf>
    <xf numFmtId="14" fontId="1" fillId="0" borderId="2" xfId="0" applyNumberFormat="1" applyFont="1" applyFill="1" applyBorder="1" applyAlignment="1" applyProtection="1">
      <alignment horizontal="center" vertical="center"/>
      <protection locked="0"/>
    </xf>
    <xf numFmtId="176" fontId="1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178" fontId="1" fillId="0" borderId="2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ill>
        <patternFill patternType="solid">
          <bgColor theme="8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99"/>
  <sheetViews>
    <sheetView tabSelected="1" workbookViewId="0">
      <pane xSplit="3" topLeftCell="AA1" activePane="topRight" state="frozen"/>
      <selection/>
      <selection pane="topRight" activeCell="AA307" sqref="AA307"/>
    </sheetView>
  </sheetViews>
  <sheetFormatPr defaultColWidth="9.64545454545454" defaultRowHeight="18" customHeight="1"/>
  <cols>
    <col min="1" max="1" width="15.6909090909091" style="4" customWidth="1"/>
    <col min="2" max="2" width="23" style="4" customWidth="1"/>
    <col min="3" max="3" width="15.9090909090909" style="5" customWidth="1"/>
    <col min="4" max="8" width="15.6909090909091" style="4" customWidth="1"/>
    <col min="9" max="9" width="21.7818181818182" style="4" customWidth="1"/>
    <col min="10" max="10" width="24.6909090909091" style="4" customWidth="1"/>
    <col min="11" max="11" width="25.2181818181818" style="4" customWidth="1"/>
    <col min="12" max="26" width="15.6909090909091" style="4" customWidth="1"/>
    <col min="27" max="27" width="15.6909090909091" style="26" customWidth="1"/>
    <col min="28" max="43" width="15.6909090909091" style="4" hidden="1" customWidth="1"/>
    <col min="44" max="46" width="15.6909090909091" style="4" customWidth="1"/>
    <col min="47" max="47" width="14.4363636363636" style="4" customWidth="1"/>
    <col min="48" max="48" width="20.5909090909091" style="4" customWidth="1"/>
    <col min="49" max="16383" width="15.6909090909091" style="4" customWidth="1"/>
    <col min="16384" max="16384" width="15.6909090909091" style="4"/>
  </cols>
  <sheetData>
    <row r="1" customHeight="1" spans="1:57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7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4">
        <v>1</v>
      </c>
      <c r="N1" s="4">
        <v>2</v>
      </c>
      <c r="O1" s="4">
        <v>3</v>
      </c>
      <c r="P1" s="4">
        <v>4</v>
      </c>
      <c r="Q1" s="4">
        <v>5</v>
      </c>
      <c r="R1" s="4">
        <v>6</v>
      </c>
      <c r="S1" s="4">
        <v>7</v>
      </c>
      <c r="T1" s="4">
        <v>8</v>
      </c>
      <c r="U1" s="4">
        <v>9</v>
      </c>
      <c r="V1" s="4">
        <v>10</v>
      </c>
      <c r="W1" s="4">
        <v>11</v>
      </c>
      <c r="X1" s="4">
        <v>12</v>
      </c>
      <c r="Y1" s="4">
        <v>13</v>
      </c>
      <c r="Z1" s="4">
        <v>14</v>
      </c>
      <c r="AA1" s="26">
        <v>15</v>
      </c>
      <c r="AB1" s="4">
        <v>16</v>
      </c>
      <c r="AC1" s="4">
        <v>17</v>
      </c>
      <c r="AD1" s="4">
        <v>18</v>
      </c>
      <c r="AE1" s="4">
        <v>19</v>
      </c>
      <c r="AF1" s="4">
        <v>20</v>
      </c>
      <c r="AG1" s="4">
        <v>21</v>
      </c>
      <c r="AH1" s="4">
        <v>22</v>
      </c>
      <c r="AI1" s="4">
        <v>23</v>
      </c>
      <c r="AJ1" s="4">
        <v>24</v>
      </c>
      <c r="AK1" s="4">
        <v>25</v>
      </c>
      <c r="AL1" s="4">
        <v>26</v>
      </c>
      <c r="AM1" s="4">
        <v>27</v>
      </c>
      <c r="AN1" s="4">
        <v>28</v>
      </c>
      <c r="AO1" s="4">
        <v>29</v>
      </c>
      <c r="AP1" s="4">
        <v>30</v>
      </c>
      <c r="AQ1" s="4">
        <v>31</v>
      </c>
      <c r="AR1" s="6" t="s">
        <v>12</v>
      </c>
      <c r="AS1" s="6" t="s">
        <v>13</v>
      </c>
      <c r="AT1" s="4" t="s">
        <v>14</v>
      </c>
      <c r="AU1" s="4" t="s">
        <v>15</v>
      </c>
      <c r="AV1" s="4" t="s">
        <v>16</v>
      </c>
    </row>
    <row r="2" customHeight="1" spans="1:57">
      <c r="A2" s="4">
        <v>1</v>
      </c>
      <c r="B2" s="4" t="s">
        <v>17</v>
      </c>
      <c r="H2" s="27"/>
      <c r="M2" s="6" t="s">
        <v>18</v>
      </c>
      <c r="N2" s="6" t="s">
        <v>19</v>
      </c>
      <c r="O2" s="6" t="s">
        <v>20</v>
      </c>
      <c r="P2" s="6" t="s">
        <v>21</v>
      </c>
      <c r="Q2" s="6" t="s">
        <v>22</v>
      </c>
      <c r="R2" s="6" t="s">
        <v>23</v>
      </c>
      <c r="S2" s="6" t="s">
        <v>24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28" t="s">
        <v>18</v>
      </c>
      <c r="AB2" s="6" t="s">
        <v>19</v>
      </c>
      <c r="AC2" s="6" t="s">
        <v>20</v>
      </c>
      <c r="AD2" s="6" t="s">
        <v>21</v>
      </c>
      <c r="AE2" s="6" t="s">
        <v>22</v>
      </c>
      <c r="AF2" s="6" t="s">
        <v>23</v>
      </c>
      <c r="AG2" s="6" t="s">
        <v>24</v>
      </c>
      <c r="AH2" s="6" t="s">
        <v>18</v>
      </c>
      <c r="AI2" s="6" t="s">
        <v>19</v>
      </c>
      <c r="AJ2" s="6" t="s">
        <v>20</v>
      </c>
      <c r="AK2" s="6" t="s">
        <v>21</v>
      </c>
      <c r="AL2" s="6" t="s">
        <v>22</v>
      </c>
      <c r="AM2" s="6" t="s">
        <v>23</v>
      </c>
      <c r="AN2" s="6" t="s">
        <v>24</v>
      </c>
      <c r="AO2" s="6" t="s">
        <v>18</v>
      </c>
      <c r="AP2" s="6" t="s">
        <v>19</v>
      </c>
      <c r="AQ2" s="6" t="s">
        <v>20</v>
      </c>
      <c r="AU2" s="29"/>
      <c r="BA2" s="4" t="s">
        <v>25</v>
      </c>
      <c r="BB2" s="4">
        <v>1300</v>
      </c>
    </row>
    <row r="3" s="4" customFormat="1" customHeight="1" spans="1:57">
      <c r="A3" s="4">
        <v>2</v>
      </c>
      <c r="B3" s="4" t="s">
        <v>26</v>
      </c>
      <c r="C3" s="5"/>
      <c r="D3" s="4"/>
      <c r="E3" s="4"/>
      <c r="F3" s="4"/>
      <c r="G3" s="4"/>
      <c r="H3" s="4"/>
      <c r="I3" s="4"/>
      <c r="J3" s="4"/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4343</v>
      </c>
      <c r="S3" s="4">
        <v>5148</v>
      </c>
      <c r="T3" s="4">
        <v>4245</v>
      </c>
      <c r="U3" s="4">
        <v>4343</v>
      </c>
      <c r="V3" s="4">
        <v>0</v>
      </c>
      <c r="W3" s="4">
        <v>4392</v>
      </c>
      <c r="X3" s="4">
        <v>5148</v>
      </c>
      <c r="Y3" s="6">
        <v>5563</v>
      </c>
      <c r="Z3" s="6">
        <v>5124</v>
      </c>
      <c r="AA3" s="26">
        <v>5392</v>
      </c>
      <c r="AB3" s="6"/>
      <c r="AC3" s="6"/>
      <c r="AD3" s="6"/>
      <c r="AH3" s="6"/>
      <c r="AJ3" s="6"/>
      <c r="AK3" s="6"/>
      <c r="AM3" s="6"/>
      <c r="AN3" s="6"/>
      <c r="AP3" s="6"/>
      <c r="AR3" s="4">
        <f t="shared" ref="AR3:AR66" si="0">SUM(M3:AQ3)</f>
        <v>43698</v>
      </c>
      <c r="AU3" s="29"/>
      <c r="AV3" s="4"/>
      <c r="AW3" s="4"/>
      <c r="AX3" s="4"/>
      <c r="AY3" s="4"/>
      <c r="AZ3" s="4"/>
      <c r="BA3" s="4" t="s">
        <v>27</v>
      </c>
      <c r="BB3" s="4">
        <v>1300</v>
      </c>
      <c r="BE3" s="4">
        <v>1118</v>
      </c>
    </row>
    <row r="4" s="4" customFormat="1" customHeight="1" spans="1:57">
      <c r="A4" s="4">
        <v>3</v>
      </c>
      <c r="B4" s="4" t="s">
        <v>28</v>
      </c>
      <c r="C4" s="5"/>
      <c r="D4" s="4"/>
      <c r="E4" s="4"/>
      <c r="F4" s="4"/>
      <c r="G4" s="4"/>
      <c r="H4" s="4"/>
      <c r="I4" s="4"/>
      <c r="J4" s="4"/>
      <c r="K4" s="4"/>
      <c r="L4" s="4"/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1341</v>
      </c>
      <c r="S4" s="4">
        <v>1873</v>
      </c>
      <c r="T4" s="4">
        <v>1681</v>
      </c>
      <c r="U4" s="4">
        <v>1461</v>
      </c>
      <c r="V4" s="4">
        <v>0</v>
      </c>
      <c r="W4" s="4">
        <v>1574</v>
      </c>
      <c r="X4" s="4">
        <v>1831</v>
      </c>
      <c r="Y4" s="4">
        <v>2044</v>
      </c>
      <c r="Z4" s="4">
        <v>1850</v>
      </c>
      <c r="AA4" s="26">
        <v>1906</v>
      </c>
      <c r="AB4" s="4"/>
      <c r="AH4" s="6"/>
      <c r="AI4" s="6"/>
      <c r="AJ4" s="6"/>
      <c r="AK4" s="6"/>
      <c r="AM4" s="6"/>
      <c r="AO4" s="6"/>
      <c r="AP4" s="4"/>
      <c r="AR4" s="1">
        <f t="shared" si="0"/>
        <v>15561</v>
      </c>
      <c r="BA4" s="30" t="s">
        <v>29</v>
      </c>
      <c r="BB4" s="1">
        <v>2500</v>
      </c>
      <c r="BC4" s="1"/>
      <c r="BD4" s="1"/>
      <c r="BE4" s="1">
        <v>2200</v>
      </c>
    </row>
    <row r="5" s="4" customFormat="1" customHeight="1" spans="1:57">
      <c r="A5" s="4">
        <v>4</v>
      </c>
      <c r="B5" s="4" t="s">
        <v>30</v>
      </c>
      <c r="C5" s="5"/>
      <c r="D5" s="4"/>
      <c r="E5" s="4"/>
      <c r="F5" s="4"/>
      <c r="G5" s="4"/>
      <c r="H5" s="4"/>
      <c r="I5" s="4"/>
      <c r="J5" s="4"/>
      <c r="K5" s="4"/>
      <c r="L5" s="4"/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1130</v>
      </c>
      <c r="S5" s="4">
        <v>1230</v>
      </c>
      <c r="T5" s="4">
        <v>1124</v>
      </c>
      <c r="U5" s="4">
        <v>1224</v>
      </c>
      <c r="V5" s="4">
        <v>0</v>
      </c>
      <c r="W5" s="4">
        <v>1184</v>
      </c>
      <c r="X5" s="4">
        <v>1284</v>
      </c>
      <c r="Y5" s="4">
        <v>1384</v>
      </c>
      <c r="Z5" s="4">
        <v>1450</v>
      </c>
      <c r="AA5" s="26">
        <v>1340</v>
      </c>
      <c r="AB5" s="4"/>
      <c r="AD5" s="6"/>
      <c r="AH5" s="6"/>
      <c r="AI5" s="6"/>
      <c r="AJ5" s="6"/>
      <c r="AK5" s="6"/>
      <c r="AM5" s="6"/>
      <c r="AN5" s="6"/>
      <c r="AO5" s="6"/>
      <c r="AP5" s="4"/>
      <c r="AR5" s="1">
        <f t="shared" si="0"/>
        <v>11350</v>
      </c>
      <c r="BA5" s="6" t="s">
        <v>31</v>
      </c>
      <c r="BB5" s="4">
        <v>2500</v>
      </c>
      <c r="BE5" s="4">
        <v>2200</v>
      </c>
    </row>
    <row r="6" s="4" customFormat="1" customHeight="1" spans="1:57">
      <c r="A6" s="4">
        <v>5</v>
      </c>
      <c r="B6" s="4" t="s">
        <v>32</v>
      </c>
      <c r="C6" s="5"/>
      <c r="D6" s="4"/>
      <c r="E6" s="4"/>
      <c r="F6" s="4"/>
      <c r="G6" s="4"/>
      <c r="H6" s="4"/>
      <c r="I6" s="4"/>
      <c r="J6" s="4"/>
      <c r="K6" s="4"/>
      <c r="L6" s="4"/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f t="shared" ref="R6:W6" si="1">R3-R4-R5</f>
        <v>1872</v>
      </c>
      <c r="S6" s="4">
        <f t="shared" si="1"/>
        <v>2045</v>
      </c>
      <c r="T6" s="4">
        <f t="shared" si="1"/>
        <v>1440</v>
      </c>
      <c r="U6" s="4">
        <f t="shared" si="1"/>
        <v>1658</v>
      </c>
      <c r="V6" s="4">
        <v>0</v>
      </c>
      <c r="W6" s="4">
        <f t="shared" ref="W6:AA6" si="2">W3-W4-W5</f>
        <v>1634</v>
      </c>
      <c r="X6" s="4">
        <f t="shared" si="2"/>
        <v>2033</v>
      </c>
      <c r="Y6" s="4">
        <f t="shared" si="2"/>
        <v>2135</v>
      </c>
      <c r="Z6" s="4">
        <f t="shared" si="2"/>
        <v>1824</v>
      </c>
      <c r="AA6" s="26">
        <f t="shared" si="2"/>
        <v>2146</v>
      </c>
      <c r="AR6" s="1">
        <f t="shared" si="0"/>
        <v>16787</v>
      </c>
      <c r="AU6" s="31"/>
      <c r="AV6" s="4"/>
      <c r="AW6" s="31"/>
      <c r="AX6" s="31"/>
      <c r="AY6" s="4"/>
      <c r="AZ6" s="4"/>
      <c r="BA6" s="6" t="s">
        <v>33</v>
      </c>
      <c r="BB6" s="4">
        <v>2500</v>
      </c>
      <c r="BC6" s="4"/>
      <c r="BD6" s="4"/>
      <c r="BE6" s="4">
        <v>2200</v>
      </c>
    </row>
    <row r="7" s="4" customFormat="1" customHeight="1" spans="1:57">
      <c r="A7" s="4">
        <v>6</v>
      </c>
      <c r="B7" s="4" t="s">
        <v>34</v>
      </c>
      <c r="C7" s="5"/>
      <c r="D7" s="4"/>
      <c r="E7" s="4"/>
      <c r="F7" s="4"/>
      <c r="G7" s="4"/>
      <c r="H7" s="4"/>
      <c r="I7" s="4"/>
      <c r="J7" s="4"/>
      <c r="L7" s="4">
        <f t="shared" ref="L7:Q7" si="3">SUM(L8:L399)</f>
        <v>5740</v>
      </c>
      <c r="M7" s="4">
        <f t="shared" si="3"/>
        <v>0</v>
      </c>
      <c r="N7" s="4">
        <f t="shared" si="3"/>
        <v>0</v>
      </c>
      <c r="O7" s="4">
        <f t="shared" si="3"/>
        <v>0</v>
      </c>
      <c r="P7" s="4">
        <f t="shared" si="3"/>
        <v>0</v>
      </c>
      <c r="Q7" s="4">
        <f t="shared" si="3"/>
        <v>0</v>
      </c>
      <c r="R7" s="4">
        <v>178</v>
      </c>
      <c r="S7" s="4">
        <f>SUM(S8:S399)</f>
        <v>209</v>
      </c>
      <c r="T7" s="4">
        <v>176</v>
      </c>
      <c r="U7" s="4">
        <v>178</v>
      </c>
      <c r="V7" s="4">
        <f>SUM(V8:V399)</f>
        <v>0</v>
      </c>
      <c r="W7" s="4">
        <v>180</v>
      </c>
      <c r="X7" s="4">
        <v>211</v>
      </c>
      <c r="Y7" s="4">
        <f>SUM(Y8:Y399)</f>
        <v>228</v>
      </c>
      <c r="Z7" s="4">
        <v>214</v>
      </c>
      <c r="AA7" s="26">
        <v>222</v>
      </c>
      <c r="AB7" s="4">
        <f t="shared" ref="X7:AQ7" si="4">SUM(AB8:AB399)</f>
        <v>0</v>
      </c>
      <c r="AC7" s="4">
        <f t="shared" si="4"/>
        <v>0</v>
      </c>
      <c r="AD7" s="4">
        <f t="shared" si="4"/>
        <v>0</v>
      </c>
      <c r="AE7" s="4">
        <f t="shared" si="4"/>
        <v>0</v>
      </c>
      <c r="AF7" s="4">
        <f t="shared" si="4"/>
        <v>0</v>
      </c>
      <c r="AG7" s="4">
        <f t="shared" si="4"/>
        <v>0</v>
      </c>
      <c r="AH7" s="4">
        <f t="shared" si="4"/>
        <v>0</v>
      </c>
      <c r="AI7" s="4">
        <f t="shared" si="4"/>
        <v>0</v>
      </c>
      <c r="AJ7" s="4">
        <f t="shared" si="4"/>
        <v>0</v>
      </c>
      <c r="AK7" s="4">
        <f t="shared" si="4"/>
        <v>0</v>
      </c>
      <c r="AL7" s="4">
        <f t="shared" si="4"/>
        <v>0</v>
      </c>
      <c r="AM7" s="4">
        <f t="shared" si="4"/>
        <v>0</v>
      </c>
      <c r="AN7" s="4">
        <f t="shared" si="4"/>
        <v>0</v>
      </c>
      <c r="AO7" s="4">
        <f t="shared" si="4"/>
        <v>0</v>
      </c>
      <c r="AP7" s="4">
        <f t="shared" si="4"/>
        <v>0</v>
      </c>
      <c r="AQ7" s="4">
        <f t="shared" si="4"/>
        <v>0</v>
      </c>
      <c r="AR7" s="1">
        <f t="shared" si="0"/>
        <v>1796</v>
      </c>
      <c r="AS7" s="4">
        <f>SUM(AS8:AS399)</f>
        <v>3963</v>
      </c>
      <c r="AT7" s="32">
        <f>SUM(AT8:AT399)</f>
        <v>95567.8381442035</v>
      </c>
      <c r="AU7" s="32">
        <f>SUM(AU8:AU399)</f>
        <v>837.8</v>
      </c>
      <c r="AW7" s="31"/>
      <c r="AX7" s="31"/>
      <c r="BA7" s="6" t="s">
        <v>35</v>
      </c>
      <c r="BB7" s="4">
        <v>2000</v>
      </c>
      <c r="BE7" s="4">
        <v>2000</v>
      </c>
    </row>
    <row r="8" customHeight="1" spans="1:57">
      <c r="A8" s="4">
        <v>7</v>
      </c>
      <c r="B8" s="4" t="s">
        <v>36</v>
      </c>
      <c r="C8" s="5">
        <v>13237187884</v>
      </c>
      <c r="H8" s="27"/>
      <c r="L8" s="33">
        <v>2</v>
      </c>
      <c r="AP8" s="6"/>
      <c r="AR8" s="4">
        <f t="shared" si="0"/>
        <v>0</v>
      </c>
      <c r="AS8" s="4">
        <f t="shared" ref="AS8:AS71" si="5">L8-AR8</f>
        <v>2</v>
      </c>
      <c r="AT8" s="32">
        <f t="shared" ref="AT8:AT71" si="6">AS8*H8</f>
        <v>0</v>
      </c>
      <c r="AU8" s="34"/>
      <c r="AV8" s="35" t="s">
        <v>37</v>
      </c>
      <c r="AW8" s="35"/>
      <c r="AX8" s="35"/>
      <c r="AY8" s="36"/>
      <c r="BA8" s="1" t="s">
        <v>38</v>
      </c>
      <c r="BB8" s="1">
        <v>1500</v>
      </c>
      <c r="BC8" s="1"/>
      <c r="BD8" s="1"/>
      <c r="BE8" s="1">
        <v>1500</v>
      </c>
    </row>
    <row r="9" customHeight="1" spans="1:57">
      <c r="A9" s="4">
        <v>8</v>
      </c>
      <c r="B9" s="4" t="s">
        <v>39</v>
      </c>
      <c r="C9" s="5">
        <v>13177366419</v>
      </c>
      <c r="H9" s="27"/>
      <c r="L9" s="33">
        <v>8</v>
      </c>
      <c r="AP9" s="6"/>
      <c r="AR9" s="4">
        <f t="shared" si="0"/>
        <v>0</v>
      </c>
      <c r="AS9" s="4">
        <f t="shared" si="5"/>
        <v>8</v>
      </c>
      <c r="AT9" s="32">
        <f t="shared" si="6"/>
        <v>0</v>
      </c>
      <c r="AU9" s="24"/>
      <c r="AV9" s="37"/>
      <c r="AW9" s="38"/>
      <c r="AX9" s="38"/>
      <c r="AY9" s="39"/>
      <c r="BA9" s="1" t="s">
        <v>40</v>
      </c>
      <c r="BB9" s="1">
        <v>1200</v>
      </c>
      <c r="BC9" s="1"/>
      <c r="BD9" s="1"/>
      <c r="BE9" s="1">
        <v>1200</v>
      </c>
    </row>
    <row r="10" customHeight="1" spans="1:57">
      <c r="A10" s="4">
        <v>9</v>
      </c>
      <c r="B10" s="4" t="s">
        <v>41</v>
      </c>
      <c r="C10" s="5">
        <v>18872038146</v>
      </c>
      <c r="H10" s="27"/>
      <c r="L10" s="33">
        <v>1</v>
      </c>
      <c r="AP10" s="6"/>
      <c r="AR10" s="4">
        <f t="shared" si="0"/>
        <v>0</v>
      </c>
      <c r="AS10" s="4">
        <f t="shared" si="5"/>
        <v>1</v>
      </c>
      <c r="AT10" s="32">
        <f t="shared" si="6"/>
        <v>0</v>
      </c>
      <c r="AV10" s="40"/>
      <c r="AW10" s="40"/>
      <c r="AX10" s="40"/>
      <c r="AY10" s="40"/>
      <c r="AZ10" s="41"/>
      <c r="BA10" s="1" t="s">
        <v>42</v>
      </c>
      <c r="BB10" s="1">
        <v>6500</v>
      </c>
      <c r="BC10" s="1"/>
      <c r="BD10" s="1"/>
      <c r="BE10" s="1">
        <v>6500</v>
      </c>
    </row>
    <row r="11" customHeight="1" spans="1:57">
      <c r="A11" s="4">
        <v>10</v>
      </c>
      <c r="B11" s="4" t="s">
        <v>43</v>
      </c>
      <c r="C11" s="5">
        <v>15002763347</v>
      </c>
      <c r="H11" s="27"/>
      <c r="L11" s="33">
        <v>1</v>
      </c>
      <c r="AP11" s="6"/>
      <c r="AR11" s="4">
        <f t="shared" si="0"/>
        <v>0</v>
      </c>
      <c r="AS11" s="4">
        <f t="shared" si="5"/>
        <v>1</v>
      </c>
      <c r="AT11" s="32">
        <f t="shared" si="6"/>
        <v>0</v>
      </c>
      <c r="BA11" s="42" t="s">
        <v>44</v>
      </c>
      <c r="BB11" s="1">
        <v>4500</v>
      </c>
      <c r="BC11" s="1"/>
      <c r="BD11" s="1"/>
      <c r="BE11" s="1">
        <v>4500</v>
      </c>
    </row>
    <row r="12" customHeight="1" spans="1:57">
      <c r="A12" s="4">
        <v>11</v>
      </c>
      <c r="B12" s="4" t="s">
        <v>45</v>
      </c>
      <c r="C12" s="5">
        <v>18610680578</v>
      </c>
      <c r="H12" s="27"/>
      <c r="L12" s="33">
        <v>5</v>
      </c>
      <c r="AP12" s="6"/>
      <c r="AR12" s="4">
        <f t="shared" si="0"/>
        <v>0</v>
      </c>
      <c r="AS12" s="4">
        <f t="shared" si="5"/>
        <v>5</v>
      </c>
      <c r="AT12" s="32">
        <f t="shared" si="6"/>
        <v>0</v>
      </c>
      <c r="AV12" s="43" t="s">
        <v>46</v>
      </c>
      <c r="AW12" s="44" t="s">
        <v>46</v>
      </c>
      <c r="AX12" s="44" t="s">
        <v>47</v>
      </c>
      <c r="AY12" s="44" t="s">
        <v>48</v>
      </c>
      <c r="AZ12" s="6"/>
      <c r="BA12" s="30"/>
      <c r="BB12" s="1"/>
      <c r="BC12" s="1"/>
      <c r="BD12" s="1"/>
      <c r="BE12" s="1"/>
    </row>
    <row r="13" customHeight="1" spans="1:57">
      <c r="A13" s="4">
        <v>12</v>
      </c>
      <c r="B13" s="4" t="s">
        <v>49</v>
      </c>
      <c r="C13" s="5">
        <v>14707259397</v>
      </c>
      <c r="H13" s="27"/>
      <c r="L13" s="33">
        <v>4</v>
      </c>
      <c r="AP13" s="6"/>
      <c r="AR13" s="4">
        <f t="shared" si="0"/>
        <v>0</v>
      </c>
      <c r="AS13" s="4">
        <f t="shared" si="5"/>
        <v>4</v>
      </c>
      <c r="AT13" s="32">
        <f t="shared" si="6"/>
        <v>0</v>
      </c>
      <c r="AV13" s="43" t="s">
        <v>28</v>
      </c>
      <c r="AW13" s="44">
        <v>1906</v>
      </c>
      <c r="AX13" s="44">
        <v>5394</v>
      </c>
      <c r="AY13" s="45">
        <f>AW13/AX13</f>
        <v>0.353355580274379</v>
      </c>
      <c r="AZ13" s="6"/>
      <c r="BA13" s="30"/>
      <c r="BB13" s="1"/>
      <c r="BC13" s="1"/>
      <c r="BD13" s="1" t="s">
        <v>50</v>
      </c>
      <c r="BE13" s="1">
        <f>BE3+BE8+BE9+BE10+BE11+BE12+BE7+BE6+BE5+BE4</f>
        <v>23418</v>
      </c>
    </row>
    <row r="14" customHeight="1" spans="1:57">
      <c r="A14" s="4">
        <v>13</v>
      </c>
      <c r="B14" s="4" t="s">
        <v>51</v>
      </c>
      <c r="C14" s="5">
        <v>15851914311</v>
      </c>
      <c r="H14" s="27"/>
      <c r="L14" s="33">
        <v>7</v>
      </c>
      <c r="AP14" s="6"/>
      <c r="AR14" s="4">
        <f t="shared" si="0"/>
        <v>0</v>
      </c>
      <c r="AS14" s="4">
        <f t="shared" si="5"/>
        <v>7</v>
      </c>
      <c r="AT14" s="32">
        <f t="shared" si="6"/>
        <v>0</v>
      </c>
      <c r="AV14" s="43" t="s">
        <v>30</v>
      </c>
      <c r="AW14" s="43">
        <v>1340</v>
      </c>
      <c r="AX14" s="43"/>
      <c r="AY14" s="46">
        <f>AW14/AX13</f>
        <v>0.24842417500927</v>
      </c>
      <c r="BA14" s="30"/>
      <c r="BB14" s="1"/>
      <c r="BC14" s="1"/>
      <c r="BD14" s="47" t="s">
        <v>52</v>
      </c>
      <c r="BE14" s="48">
        <f>BE13/22</f>
        <v>1064.45454545455</v>
      </c>
    </row>
    <row r="15" customHeight="1" spans="1:57">
      <c r="A15" s="4">
        <v>14</v>
      </c>
      <c r="B15" s="4" t="s">
        <v>53</v>
      </c>
      <c r="C15" s="5">
        <v>13135870789</v>
      </c>
      <c r="H15" s="27"/>
      <c r="L15" s="33">
        <v>6</v>
      </c>
      <c r="AP15" s="6"/>
      <c r="AR15" s="4">
        <f t="shared" si="0"/>
        <v>0</v>
      </c>
      <c r="AS15" s="4">
        <f t="shared" si="5"/>
        <v>6</v>
      </c>
      <c r="AT15" s="32">
        <f t="shared" si="6"/>
        <v>0</v>
      </c>
      <c r="AV15" s="43" t="s">
        <v>32</v>
      </c>
      <c r="AW15" s="43">
        <f>AX13-AW13-AW14</f>
        <v>2148</v>
      </c>
      <c r="AX15" s="43"/>
      <c r="AY15" s="46">
        <f>AW15/AX13</f>
        <v>0.398220244716351</v>
      </c>
      <c r="BA15" s="30"/>
      <c r="BB15" s="1"/>
      <c r="BC15" s="1"/>
      <c r="BD15" s="47"/>
      <c r="BE15" s="1"/>
    </row>
    <row r="16" s="9" customFormat="1" customHeight="1" spans="1:57">
      <c r="A16" s="4">
        <v>15</v>
      </c>
      <c r="B16" s="9" t="s">
        <v>54</v>
      </c>
      <c r="C16" s="10">
        <v>13575614279</v>
      </c>
      <c r="D16" s="9"/>
      <c r="E16" s="9"/>
      <c r="F16" s="9"/>
      <c r="G16" s="9"/>
      <c r="H16" s="49"/>
      <c r="I16" s="9"/>
      <c r="J16" s="9"/>
      <c r="K16" s="9"/>
      <c r="L16" s="50">
        <v>2</v>
      </c>
      <c r="M16" s="9"/>
      <c r="N16" s="9"/>
      <c r="O16" s="9"/>
      <c r="P16" s="9"/>
      <c r="Q16" s="9"/>
      <c r="R16" s="9"/>
      <c r="S16" s="9"/>
      <c r="T16" s="9"/>
      <c r="U16" s="9">
        <v>1</v>
      </c>
      <c r="V16" s="9"/>
      <c r="W16" s="9"/>
      <c r="X16" s="9">
        <v>1</v>
      </c>
      <c r="Y16" s="4"/>
      <c r="Z16" s="4"/>
      <c r="AA16" s="26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6"/>
      <c r="AQ16" s="4"/>
      <c r="AR16" s="9">
        <f t="shared" si="0"/>
        <v>2</v>
      </c>
      <c r="AS16" s="9">
        <f t="shared" si="5"/>
        <v>0</v>
      </c>
      <c r="AT16" s="51">
        <f t="shared" si="6"/>
        <v>0</v>
      </c>
      <c r="AY16" s="52"/>
      <c r="BA16" s="53"/>
      <c r="BB16" s="54"/>
      <c r="BC16" s="54"/>
      <c r="BD16" s="55"/>
      <c r="BE16" s="54"/>
    </row>
    <row r="17" customHeight="1" spans="1:63">
      <c r="A17" s="4">
        <v>16</v>
      </c>
      <c r="B17" s="56" t="s">
        <v>55</v>
      </c>
      <c r="C17" s="5">
        <v>17782595085</v>
      </c>
      <c r="H17" s="27"/>
      <c r="L17" s="33">
        <v>2</v>
      </c>
      <c r="AP17" s="6"/>
      <c r="AR17" s="4">
        <f t="shared" si="0"/>
        <v>0</v>
      </c>
      <c r="AS17" s="4">
        <f t="shared" si="5"/>
        <v>2</v>
      </c>
      <c r="AT17" s="32">
        <f t="shared" si="6"/>
        <v>0</v>
      </c>
      <c r="AY17" s="57"/>
      <c r="AZ17" s="57"/>
      <c r="BA17" s="30"/>
      <c r="BB17" s="1"/>
      <c r="BC17" s="1"/>
      <c r="BD17" s="1"/>
      <c r="BE17" s="1"/>
    </row>
    <row r="18" customHeight="1" spans="1:63">
      <c r="A18" s="4">
        <v>17</v>
      </c>
      <c r="B18" s="4" t="s">
        <v>56</v>
      </c>
      <c r="C18" s="5">
        <v>18571454336</v>
      </c>
      <c r="H18" s="27"/>
      <c r="L18" s="33">
        <v>2</v>
      </c>
      <c r="AP18" s="6"/>
      <c r="AR18" s="4">
        <f t="shared" si="0"/>
        <v>0</v>
      </c>
      <c r="AS18" s="4">
        <f t="shared" si="5"/>
        <v>2</v>
      </c>
      <c r="AT18" s="32">
        <f t="shared" si="6"/>
        <v>0</v>
      </c>
      <c r="AV18" s="58" t="s">
        <v>46</v>
      </c>
      <c r="AW18" s="58" t="s">
        <v>46</v>
      </c>
      <c r="AX18" s="58" t="s">
        <v>47</v>
      </c>
      <c r="AY18" s="59" t="s">
        <v>48</v>
      </c>
      <c r="AZ18" s="57"/>
      <c r="BA18" s="30"/>
    </row>
    <row r="19" customHeight="1" spans="1:63">
      <c r="A19" s="4">
        <v>18</v>
      </c>
      <c r="B19" s="4" t="s">
        <v>57</v>
      </c>
      <c r="C19" s="5">
        <v>17671006702</v>
      </c>
      <c r="H19" s="27"/>
      <c r="L19" s="33">
        <v>2</v>
      </c>
      <c r="AP19" s="6"/>
      <c r="AR19" s="4">
        <f t="shared" si="0"/>
        <v>0</v>
      </c>
      <c r="AS19" s="4">
        <f t="shared" si="5"/>
        <v>2</v>
      </c>
      <c r="AT19" s="32">
        <f t="shared" si="6"/>
        <v>0</v>
      </c>
      <c r="AV19" s="58" t="s">
        <v>28</v>
      </c>
      <c r="AW19" s="58">
        <f>AR4</f>
        <v>15561</v>
      </c>
      <c r="AX19" s="58">
        <f>AR3</f>
        <v>43698</v>
      </c>
      <c r="AY19" s="59">
        <f>AW19/AX19</f>
        <v>0.356103254153508</v>
      </c>
      <c r="AZ19" s="57"/>
      <c r="BA19" s="30"/>
    </row>
    <row r="20" s="4" customFormat="1" customHeight="1" spans="1:63">
      <c r="A20" s="4">
        <v>19</v>
      </c>
      <c r="B20" s="4" t="s">
        <v>58</v>
      </c>
      <c r="C20" s="5">
        <v>15207110961</v>
      </c>
      <c r="D20" s="4"/>
      <c r="E20" s="4"/>
      <c r="F20" s="4"/>
      <c r="G20" s="4"/>
      <c r="H20" s="27"/>
      <c r="I20" s="4"/>
      <c r="J20" s="4"/>
      <c r="L20" s="33">
        <v>3</v>
      </c>
      <c r="AA20" s="26"/>
      <c r="AB20" s="4"/>
      <c r="AC20" s="4"/>
      <c r="AP20" s="6"/>
      <c r="AR20" s="4">
        <f t="shared" si="0"/>
        <v>0</v>
      </c>
      <c r="AS20" s="4">
        <f t="shared" si="5"/>
        <v>3</v>
      </c>
      <c r="AT20" s="32">
        <f t="shared" si="6"/>
        <v>0</v>
      </c>
      <c r="AV20" s="58" t="s">
        <v>30</v>
      </c>
      <c r="AW20" s="58">
        <f>AR5</f>
        <v>11350</v>
      </c>
      <c r="AX20" s="58"/>
      <c r="AY20" s="59">
        <f>AW20/AX19</f>
        <v>0.259737287747723</v>
      </c>
      <c r="BA20" s="30"/>
    </row>
    <row r="21" s="4" customFormat="1" customHeight="1" spans="1:63">
      <c r="A21" s="4">
        <v>20</v>
      </c>
      <c r="B21" s="4" t="s">
        <v>59</v>
      </c>
      <c r="C21" s="5">
        <v>18371908552</v>
      </c>
      <c r="D21" s="4"/>
      <c r="E21" s="4"/>
      <c r="F21" s="4"/>
      <c r="G21" s="4"/>
      <c r="H21" s="27"/>
      <c r="I21" s="4"/>
      <c r="J21" s="4"/>
      <c r="L21" s="33">
        <v>3</v>
      </c>
      <c r="AA21" s="26"/>
      <c r="AB21" s="4"/>
      <c r="AC21" s="4"/>
      <c r="AP21" s="6"/>
      <c r="AR21" s="4">
        <f t="shared" si="0"/>
        <v>0</v>
      </c>
      <c r="AS21" s="4">
        <f t="shared" si="5"/>
        <v>3</v>
      </c>
      <c r="AT21" s="32">
        <f t="shared" si="6"/>
        <v>0</v>
      </c>
      <c r="AV21" s="58" t="s">
        <v>32</v>
      </c>
      <c r="AW21" s="58">
        <f>AR6</f>
        <v>16787</v>
      </c>
      <c r="AX21" s="58"/>
      <c r="AY21" s="59">
        <f>AW21/AX19</f>
        <v>0.384159458098769</v>
      </c>
      <c r="BA21" s="30"/>
    </row>
    <row r="22" s="4" customFormat="1" customHeight="1" spans="1:63">
      <c r="A22" s="4">
        <v>21</v>
      </c>
      <c r="B22" s="56" t="s">
        <v>60</v>
      </c>
      <c r="C22" s="5">
        <v>18274758512</v>
      </c>
      <c r="D22" s="4"/>
      <c r="E22" s="4"/>
      <c r="F22" s="4"/>
      <c r="G22" s="4"/>
      <c r="H22" s="27"/>
      <c r="I22" s="4"/>
      <c r="J22" s="4"/>
      <c r="K22" s="4" t="s">
        <v>61</v>
      </c>
      <c r="L22" s="33">
        <v>1</v>
      </c>
      <c r="AA22" s="26"/>
      <c r="AB22" s="4"/>
      <c r="AC22" s="4"/>
      <c r="AP22" s="6"/>
      <c r="AR22" s="4">
        <f t="shared" si="0"/>
        <v>0</v>
      </c>
      <c r="AS22" s="4">
        <f t="shared" si="5"/>
        <v>1</v>
      </c>
      <c r="AT22" s="32">
        <f t="shared" si="6"/>
        <v>0</v>
      </c>
      <c r="BA22" s="30"/>
    </row>
    <row r="23" s="9" customFormat="1" customHeight="1" spans="1:63">
      <c r="A23" s="4">
        <v>22</v>
      </c>
      <c r="B23" s="4" t="s">
        <v>62</v>
      </c>
      <c r="C23" s="5">
        <v>13277871507</v>
      </c>
      <c r="D23" s="4"/>
      <c r="E23" s="4"/>
      <c r="F23" s="4"/>
      <c r="G23" s="4"/>
      <c r="H23" s="27"/>
      <c r="I23" s="4" t="s">
        <v>63</v>
      </c>
      <c r="J23" s="4" t="s">
        <v>64</v>
      </c>
      <c r="K23" s="4"/>
      <c r="L23" s="33">
        <v>10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26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6"/>
      <c r="AQ23" s="4"/>
      <c r="AR23" s="4">
        <f t="shared" si="0"/>
        <v>0</v>
      </c>
      <c r="AS23" s="4">
        <f t="shared" si="5"/>
        <v>10</v>
      </c>
      <c r="AT23" s="32">
        <f t="shared" si="6"/>
        <v>0</v>
      </c>
      <c r="AU23" s="4"/>
      <c r="AV23" s="60" t="s">
        <v>65</v>
      </c>
      <c r="AW23" s="60" t="s">
        <v>66</v>
      </c>
      <c r="AX23" s="60" t="s">
        <v>67</v>
      </c>
      <c r="AY23" s="60" t="s">
        <v>68</v>
      </c>
      <c r="AZ23" s="61" t="s">
        <v>69</v>
      </c>
      <c r="BA23" s="30"/>
      <c r="BB23" s="4"/>
      <c r="BC23" s="4"/>
      <c r="BD23" s="4"/>
      <c r="BE23" s="4"/>
      <c r="BF23" s="4"/>
      <c r="BG23" s="4"/>
      <c r="BH23" s="4"/>
      <c r="BI23" s="4"/>
      <c r="BJ23" s="4"/>
      <c r="BK23" s="4"/>
    </row>
    <row r="24" s="4" customFormat="1" customHeight="1" spans="1:63">
      <c r="A24" s="4">
        <v>23</v>
      </c>
      <c r="B24" s="4" t="s">
        <v>70</v>
      </c>
      <c r="C24" s="5">
        <v>19133956737</v>
      </c>
      <c r="D24" s="4"/>
      <c r="E24" s="4"/>
      <c r="F24" s="4"/>
      <c r="G24" s="4"/>
      <c r="H24" s="27"/>
      <c r="I24" s="4" t="s">
        <v>63</v>
      </c>
      <c r="J24" s="4" t="s">
        <v>71</v>
      </c>
      <c r="L24" s="33">
        <v>8</v>
      </c>
      <c r="AA24" s="26"/>
      <c r="AB24" s="4"/>
      <c r="AC24" s="4"/>
      <c r="AP24" s="6"/>
      <c r="AR24" s="4">
        <f t="shared" si="0"/>
        <v>0</v>
      </c>
      <c r="AS24" s="4">
        <f t="shared" si="5"/>
        <v>8</v>
      </c>
      <c r="AT24" s="32">
        <f t="shared" si="6"/>
        <v>0</v>
      </c>
      <c r="AV24" s="60">
        <v>488</v>
      </c>
      <c r="AW24" s="60">
        <v>488</v>
      </c>
      <c r="AX24" s="60">
        <f>SUM(AV24:AW68)</f>
        <v>5300</v>
      </c>
      <c r="AY24" s="60">
        <f>AX24+67949</f>
        <v>73249</v>
      </c>
      <c r="AZ24" s="62">
        <f>80000-AY24</f>
        <v>6751</v>
      </c>
      <c r="BA24" s="30"/>
    </row>
    <row r="25" s="4" customFormat="1" customHeight="1" spans="1:63">
      <c r="A25" s="4">
        <v>24</v>
      </c>
      <c r="B25" s="4" t="s">
        <v>72</v>
      </c>
      <c r="C25" s="5">
        <v>18751576802</v>
      </c>
      <c r="D25" s="4"/>
      <c r="E25" s="4"/>
      <c r="F25" s="4"/>
      <c r="G25" s="4"/>
      <c r="H25" s="27"/>
      <c r="I25" s="4" t="s">
        <v>73</v>
      </c>
      <c r="J25" s="4" t="s">
        <v>74</v>
      </c>
      <c r="L25" s="33">
        <v>1</v>
      </c>
      <c r="AA25" s="26"/>
      <c r="AB25" s="4"/>
      <c r="AC25" s="4"/>
      <c r="AP25" s="6"/>
      <c r="AR25" s="4">
        <f t="shared" si="0"/>
        <v>0</v>
      </c>
      <c r="AS25" s="4">
        <f t="shared" si="5"/>
        <v>1</v>
      </c>
      <c r="AT25" s="32">
        <f t="shared" si="6"/>
        <v>0</v>
      </c>
      <c r="AV25" s="60">
        <v>488</v>
      </c>
      <c r="AW25" s="60">
        <v>488</v>
      </c>
      <c r="AX25" s="60"/>
      <c r="AY25" s="60"/>
      <c r="AZ25" s="61"/>
      <c r="BA25" s="30"/>
    </row>
    <row r="26" customHeight="1" spans="1:63">
      <c r="A26" s="4">
        <v>25</v>
      </c>
      <c r="B26" s="4" t="s">
        <v>75</v>
      </c>
      <c r="C26" s="5">
        <v>18249047595</v>
      </c>
      <c r="H26" s="27"/>
      <c r="I26" s="4" t="s">
        <v>63</v>
      </c>
      <c r="J26" s="4" t="s">
        <v>76</v>
      </c>
      <c r="L26" s="33">
        <v>1</v>
      </c>
      <c r="AP26" s="6"/>
      <c r="AR26" s="4">
        <f t="shared" si="0"/>
        <v>0</v>
      </c>
      <c r="AS26" s="4">
        <f t="shared" si="5"/>
        <v>1</v>
      </c>
      <c r="AT26" s="32">
        <f t="shared" si="6"/>
        <v>0</v>
      </c>
      <c r="AV26" s="60">
        <v>30</v>
      </c>
      <c r="AW26" s="60"/>
      <c r="AX26" s="60"/>
      <c r="AY26" s="60"/>
      <c r="AZ26" s="60"/>
      <c r="BA26" s="30"/>
    </row>
    <row r="27" customHeight="1" spans="1:63">
      <c r="A27" s="4">
        <v>26</v>
      </c>
      <c r="B27" s="4" t="s">
        <v>77</v>
      </c>
      <c r="C27" s="5">
        <v>15334037581</v>
      </c>
      <c r="H27" s="27"/>
      <c r="I27" s="4" t="s">
        <v>63</v>
      </c>
      <c r="J27" s="4" t="s">
        <v>78</v>
      </c>
      <c r="L27" s="33">
        <v>1</v>
      </c>
      <c r="AP27" s="6"/>
      <c r="AR27" s="4">
        <f t="shared" si="0"/>
        <v>0</v>
      </c>
      <c r="AS27" s="4">
        <f t="shared" si="5"/>
        <v>1</v>
      </c>
      <c r="AT27" s="32">
        <f t="shared" si="6"/>
        <v>0</v>
      </c>
      <c r="AV27" s="60">
        <v>488</v>
      </c>
      <c r="AW27" s="63"/>
      <c r="AX27" s="63"/>
      <c r="AY27" s="63"/>
      <c r="AZ27" s="63"/>
      <c r="BA27" s="64"/>
    </row>
    <row r="28" customHeight="1" spans="1:63">
      <c r="A28" s="4">
        <v>27</v>
      </c>
      <c r="B28" s="4" t="s">
        <v>79</v>
      </c>
      <c r="C28" s="5">
        <v>13657152879</v>
      </c>
      <c r="H28" s="27"/>
      <c r="I28" s="4" t="s">
        <v>63</v>
      </c>
      <c r="J28" s="4" t="s">
        <v>78</v>
      </c>
      <c r="L28" s="33">
        <v>1</v>
      </c>
      <c r="AP28" s="6"/>
      <c r="AR28" s="4">
        <f t="shared" si="0"/>
        <v>0</v>
      </c>
      <c r="AS28" s="4">
        <f t="shared" si="5"/>
        <v>1</v>
      </c>
      <c r="AT28" s="32">
        <f t="shared" si="6"/>
        <v>0</v>
      </c>
      <c r="AV28" s="60">
        <v>488</v>
      </c>
      <c r="AW28" s="60"/>
      <c r="AX28" s="60"/>
      <c r="AY28" s="60"/>
      <c r="AZ28" s="60"/>
      <c r="BA28" s="30"/>
    </row>
    <row r="29" customHeight="1" spans="1:63">
      <c r="A29" s="4">
        <v>28</v>
      </c>
      <c r="B29" s="4" t="s">
        <v>80</v>
      </c>
      <c r="C29" s="5">
        <v>13307170133</v>
      </c>
      <c r="H29" s="27"/>
      <c r="I29" s="4" t="s">
        <v>63</v>
      </c>
      <c r="J29" s="4" t="s">
        <v>81</v>
      </c>
      <c r="L29" s="33">
        <v>1</v>
      </c>
      <c r="AP29" s="6"/>
      <c r="AR29" s="4">
        <f t="shared" si="0"/>
        <v>0</v>
      </c>
      <c r="AS29" s="4">
        <f t="shared" si="5"/>
        <v>1</v>
      </c>
      <c r="AT29" s="32">
        <f t="shared" si="6"/>
        <v>0</v>
      </c>
      <c r="AV29" s="60">
        <v>488</v>
      </c>
      <c r="AW29" s="60"/>
      <c r="AX29" s="60"/>
      <c r="AY29" s="60"/>
      <c r="AZ29" s="60"/>
      <c r="BA29" s="30"/>
    </row>
    <row r="30" customHeight="1" spans="1:63">
      <c r="A30" s="4">
        <v>29</v>
      </c>
      <c r="B30" s="4" t="s">
        <v>82</v>
      </c>
      <c r="C30" s="5">
        <v>15827861701</v>
      </c>
      <c r="H30" s="27"/>
      <c r="I30" s="4" t="s">
        <v>63</v>
      </c>
      <c r="J30" s="4" t="s">
        <v>83</v>
      </c>
      <c r="L30" s="33">
        <v>1</v>
      </c>
      <c r="AP30" s="6"/>
      <c r="AR30" s="4">
        <f t="shared" si="0"/>
        <v>0</v>
      </c>
      <c r="AS30" s="4">
        <f t="shared" si="5"/>
        <v>1</v>
      </c>
      <c r="AT30" s="32">
        <f t="shared" si="6"/>
        <v>0</v>
      </c>
      <c r="AV30" s="60">
        <v>60</v>
      </c>
      <c r="AW30" s="60"/>
      <c r="AX30" s="60"/>
      <c r="AY30" s="60"/>
      <c r="AZ30" s="60"/>
    </row>
    <row r="31" s="9" customFormat="1" customHeight="1" spans="1:63">
      <c r="A31" s="4">
        <v>30</v>
      </c>
      <c r="B31" s="4" t="s">
        <v>84</v>
      </c>
      <c r="C31" s="5">
        <v>15507153709</v>
      </c>
      <c r="D31" s="4"/>
      <c r="E31" s="4"/>
      <c r="F31" s="4"/>
      <c r="G31" s="4"/>
      <c r="H31" s="27"/>
      <c r="I31" s="4" t="s">
        <v>85</v>
      </c>
      <c r="J31" s="4" t="s">
        <v>86</v>
      </c>
      <c r="K31" s="4"/>
      <c r="L31" s="33">
        <v>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26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6"/>
      <c r="AQ31" s="4"/>
      <c r="AR31" s="4">
        <f t="shared" si="0"/>
        <v>0</v>
      </c>
      <c r="AS31" s="4">
        <f t="shared" si="5"/>
        <v>1</v>
      </c>
      <c r="AT31" s="32">
        <f t="shared" si="6"/>
        <v>0</v>
      </c>
      <c r="AU31" s="4"/>
      <c r="AV31" s="60">
        <v>788</v>
      </c>
      <c r="AW31" s="60"/>
      <c r="AX31" s="60"/>
      <c r="AY31" s="60"/>
      <c r="AZ31" s="60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</row>
    <row r="32" s="4" customFormat="1" customHeight="1" spans="1:63">
      <c r="A32" s="4">
        <v>31</v>
      </c>
      <c r="B32" s="4" t="s">
        <v>87</v>
      </c>
      <c r="C32" s="5">
        <v>15007146163</v>
      </c>
      <c r="D32" s="65">
        <v>45701</v>
      </c>
      <c r="E32" s="65">
        <v>45851</v>
      </c>
      <c r="F32" s="4">
        <v>999</v>
      </c>
      <c r="G32" s="4">
        <v>40</v>
      </c>
      <c r="H32" s="66">
        <f t="shared" ref="H32:H95" si="7">F32/G32</f>
        <v>24.975</v>
      </c>
      <c r="I32" s="4" t="s">
        <v>88</v>
      </c>
      <c r="J32" s="4" t="s">
        <v>89</v>
      </c>
      <c r="L32" s="33">
        <v>2</v>
      </c>
      <c r="AA32" s="26"/>
      <c r="AB32" s="4"/>
      <c r="AC32" s="4"/>
      <c r="AP32" s="6"/>
      <c r="AR32" s="4">
        <f t="shared" si="0"/>
        <v>0</v>
      </c>
      <c r="AS32" s="4">
        <f t="shared" si="5"/>
        <v>2</v>
      </c>
      <c r="AT32" s="32">
        <f t="shared" si="6"/>
        <v>49.95</v>
      </c>
      <c r="AV32" s="60">
        <v>488</v>
      </c>
      <c r="AW32" s="60"/>
      <c r="AX32" s="60"/>
      <c r="AY32" s="60"/>
      <c r="AZ32" s="60"/>
    </row>
    <row r="33" s="4" customFormat="1" customHeight="1" spans="1:63">
      <c r="A33" s="4">
        <v>32</v>
      </c>
      <c r="B33" s="4" t="s">
        <v>90</v>
      </c>
      <c r="C33" s="5">
        <v>13277250188</v>
      </c>
      <c r="D33" s="65">
        <v>45706</v>
      </c>
      <c r="E33" s="65">
        <v>45862</v>
      </c>
      <c r="F33" s="4">
        <v>488</v>
      </c>
      <c r="G33" s="4">
        <v>20</v>
      </c>
      <c r="H33" s="66">
        <f t="shared" si="7"/>
        <v>24.4</v>
      </c>
      <c r="I33" s="4" t="s">
        <v>63</v>
      </c>
      <c r="J33" s="4" t="s">
        <v>91</v>
      </c>
      <c r="K33" s="4" t="s">
        <v>92</v>
      </c>
      <c r="L33" s="33">
        <v>1</v>
      </c>
      <c r="AA33" s="26"/>
      <c r="AB33" s="4"/>
      <c r="AC33" s="4"/>
      <c r="AP33" s="6"/>
      <c r="AR33" s="4">
        <f t="shared" si="0"/>
        <v>0</v>
      </c>
      <c r="AS33" s="4">
        <f t="shared" si="5"/>
        <v>1</v>
      </c>
      <c r="AT33" s="32">
        <f t="shared" si="6"/>
        <v>24.4</v>
      </c>
      <c r="AV33" s="60">
        <v>30</v>
      </c>
      <c r="AW33" s="60"/>
      <c r="AX33" s="60"/>
      <c r="AY33" s="60"/>
      <c r="AZ33" s="60"/>
    </row>
    <row r="34" s="4" customFormat="1" customHeight="1" spans="1:63">
      <c r="A34" s="4">
        <v>33</v>
      </c>
      <c r="B34" s="4" t="s">
        <v>93</v>
      </c>
      <c r="C34" s="5">
        <v>13260681004</v>
      </c>
      <c r="D34" s="65">
        <v>45706</v>
      </c>
      <c r="E34" s="65">
        <v>45856</v>
      </c>
      <c r="F34" s="4">
        <v>488</v>
      </c>
      <c r="G34" s="4">
        <v>20</v>
      </c>
      <c r="H34" s="66">
        <f t="shared" si="7"/>
        <v>24.4</v>
      </c>
      <c r="I34" s="4" t="s">
        <v>63</v>
      </c>
      <c r="J34" s="4" t="s">
        <v>92</v>
      </c>
      <c r="L34" s="33">
        <v>1</v>
      </c>
      <c r="AA34" s="26"/>
      <c r="AB34" s="4"/>
      <c r="AC34" s="4"/>
      <c r="AP34" s="6"/>
      <c r="AR34" s="4">
        <f t="shared" si="0"/>
        <v>0</v>
      </c>
      <c r="AS34" s="4">
        <f t="shared" si="5"/>
        <v>1</v>
      </c>
      <c r="AT34" s="32">
        <f t="shared" si="6"/>
        <v>24.4</v>
      </c>
      <c r="AV34" s="60">
        <v>488</v>
      </c>
      <c r="AW34" s="60"/>
      <c r="AX34" s="60"/>
      <c r="AY34" s="60"/>
      <c r="AZ34" s="60"/>
    </row>
    <row r="35" s="9" customFormat="1" customHeight="1" spans="1:63">
      <c r="A35" s="4">
        <v>34</v>
      </c>
      <c r="B35" s="4" t="s">
        <v>94</v>
      </c>
      <c r="C35" s="5">
        <v>15078858467</v>
      </c>
      <c r="D35" s="65">
        <v>45793</v>
      </c>
      <c r="E35" s="65">
        <v>45946</v>
      </c>
      <c r="F35" s="4">
        <v>899</v>
      </c>
      <c r="G35" s="4">
        <v>40</v>
      </c>
      <c r="H35" s="66">
        <f t="shared" si="7"/>
        <v>22.475</v>
      </c>
      <c r="I35" s="4" t="s">
        <v>95</v>
      </c>
      <c r="J35" s="4" t="s">
        <v>96</v>
      </c>
      <c r="K35" s="4" t="s">
        <v>97</v>
      </c>
      <c r="L35" s="33">
        <v>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26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6"/>
      <c r="AQ35" s="4"/>
      <c r="AR35" s="4">
        <f t="shared" si="0"/>
        <v>0</v>
      </c>
      <c r="AS35" s="4">
        <f t="shared" si="5"/>
        <v>1</v>
      </c>
      <c r="AT35" s="32">
        <f t="shared" si="6"/>
        <v>22.475</v>
      </c>
      <c r="AU35" s="4"/>
      <c r="AV35" s="60"/>
      <c r="AW35" s="60"/>
      <c r="AX35" s="60"/>
      <c r="AY35" s="60"/>
      <c r="AZ35" s="60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</row>
    <row r="36" s="9" customFormat="1" customHeight="1" spans="1:63">
      <c r="A36" s="4">
        <v>35</v>
      </c>
      <c r="B36" s="4" t="s">
        <v>98</v>
      </c>
      <c r="C36" s="5">
        <v>18827091580</v>
      </c>
      <c r="D36" s="65">
        <v>45839</v>
      </c>
      <c r="E36" s="65"/>
      <c r="F36" s="4">
        <v>899</v>
      </c>
      <c r="G36" s="4">
        <v>40</v>
      </c>
      <c r="H36" s="66">
        <f t="shared" si="7"/>
        <v>22.475</v>
      </c>
      <c r="I36" s="4" t="s">
        <v>99</v>
      </c>
      <c r="J36" s="4" t="s">
        <v>74</v>
      </c>
      <c r="K36" s="4" t="s">
        <v>100</v>
      </c>
      <c r="L36" s="33">
        <v>19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26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6"/>
      <c r="AQ36" s="4"/>
      <c r="AR36" s="4">
        <f t="shared" si="0"/>
        <v>0</v>
      </c>
      <c r="AS36" s="4">
        <f t="shared" si="5"/>
        <v>19</v>
      </c>
      <c r="AT36" s="32">
        <f t="shared" si="6"/>
        <v>427.025</v>
      </c>
      <c r="AU36" s="4"/>
      <c r="AV36" s="60"/>
      <c r="AW36" s="60"/>
      <c r="AX36" s="60"/>
      <c r="AY36" s="60"/>
      <c r="AZ36" s="60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</row>
    <row r="37" s="9" customFormat="1" customHeight="1" spans="1:63">
      <c r="A37" s="4">
        <v>36</v>
      </c>
      <c r="B37" s="4" t="s">
        <v>101</v>
      </c>
      <c r="C37" s="5">
        <v>18071026586</v>
      </c>
      <c r="D37" s="65">
        <v>45863</v>
      </c>
      <c r="E37" s="65"/>
      <c r="F37" s="4">
        <v>588</v>
      </c>
      <c r="G37" s="4">
        <v>20</v>
      </c>
      <c r="H37" s="66">
        <f t="shared" si="7"/>
        <v>29.4</v>
      </c>
      <c r="I37" s="4" t="s">
        <v>102</v>
      </c>
      <c r="J37" s="4" t="s">
        <v>103</v>
      </c>
      <c r="K37" s="4"/>
      <c r="L37" s="33">
        <v>4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26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6"/>
      <c r="AQ37" s="4"/>
      <c r="AR37" s="4">
        <f t="shared" si="0"/>
        <v>0</v>
      </c>
      <c r="AS37" s="4">
        <f t="shared" si="5"/>
        <v>4</v>
      </c>
      <c r="AT37" s="32">
        <f t="shared" si="6"/>
        <v>117.6</v>
      </c>
      <c r="AU37" s="4"/>
      <c r="AV37" s="60"/>
      <c r="AW37" s="60"/>
      <c r="AX37" s="60"/>
      <c r="AY37" s="60"/>
      <c r="AZ37" s="60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</row>
    <row r="38" s="9" customFormat="1" customHeight="1" spans="1:63">
      <c r="A38" s="4">
        <v>37</v>
      </c>
      <c r="B38" s="4" t="s">
        <v>104</v>
      </c>
      <c r="C38" s="5">
        <v>16696354032</v>
      </c>
      <c r="D38" s="65">
        <v>45905</v>
      </c>
      <c r="E38" s="65">
        <v>46070</v>
      </c>
      <c r="F38" s="4">
        <v>448</v>
      </c>
      <c r="G38" s="4">
        <v>18</v>
      </c>
      <c r="H38" s="66">
        <f t="shared" si="7"/>
        <v>24.8888888888889</v>
      </c>
      <c r="I38" s="4">
        <v>448.18</v>
      </c>
      <c r="J38" s="4" t="s">
        <v>105</v>
      </c>
      <c r="K38" s="4" t="s">
        <v>106</v>
      </c>
      <c r="L38" s="33">
        <v>1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26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6"/>
      <c r="AQ38" s="4"/>
      <c r="AR38" s="4">
        <f t="shared" si="0"/>
        <v>0</v>
      </c>
      <c r="AS38" s="4">
        <f t="shared" si="5"/>
        <v>1</v>
      </c>
      <c r="AT38" s="32">
        <f t="shared" si="6"/>
        <v>24.8888888888889</v>
      </c>
      <c r="AU38" s="4"/>
      <c r="AV38" s="60"/>
      <c r="AW38" s="60"/>
      <c r="AX38" s="60"/>
      <c r="AY38" s="60"/>
      <c r="AZ38" s="60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</row>
    <row r="39" s="9" customFormat="1" customHeight="1" spans="1:63">
      <c r="A39" s="4">
        <v>38</v>
      </c>
      <c r="B39" s="11" t="s">
        <v>107</v>
      </c>
      <c r="C39" s="12">
        <v>15571141204</v>
      </c>
      <c r="D39" s="67">
        <v>45911</v>
      </c>
      <c r="E39" s="67">
        <v>46008</v>
      </c>
      <c r="F39" s="11">
        <v>999</v>
      </c>
      <c r="G39" s="11">
        <v>40</v>
      </c>
      <c r="H39" s="68">
        <f t="shared" si="7"/>
        <v>24.975</v>
      </c>
      <c r="I39" s="11" t="s">
        <v>85</v>
      </c>
      <c r="J39" s="11" t="s">
        <v>108</v>
      </c>
      <c r="K39" s="11"/>
      <c r="L39" s="69">
        <v>10</v>
      </c>
      <c r="M39" s="11"/>
      <c r="N39" s="11"/>
      <c r="O39" s="11"/>
      <c r="P39" s="11"/>
      <c r="Q39" s="11"/>
      <c r="R39" s="11"/>
      <c r="S39" s="11"/>
      <c r="T39" s="11"/>
      <c r="U39" s="4"/>
      <c r="V39" s="4"/>
      <c r="W39" s="4"/>
      <c r="X39" s="11"/>
      <c r="Y39" s="4"/>
      <c r="Z39" s="4"/>
      <c r="AA39" s="26"/>
      <c r="AB39" s="4"/>
      <c r="AC39" s="4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6"/>
      <c r="AQ39" s="11"/>
      <c r="AR39" s="11">
        <f t="shared" si="0"/>
        <v>0</v>
      </c>
      <c r="AS39" s="4">
        <f t="shared" si="5"/>
        <v>10</v>
      </c>
      <c r="AT39" s="32">
        <f t="shared" si="6"/>
        <v>249.75</v>
      </c>
      <c r="AU39" s="11"/>
      <c r="AV39" s="60"/>
      <c r="AW39" s="70"/>
      <c r="AX39" s="70"/>
      <c r="AY39" s="70"/>
      <c r="AZ39" s="70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</row>
    <row r="40" s="9" customFormat="1" customHeight="1" spans="1:63">
      <c r="A40" s="4">
        <v>39</v>
      </c>
      <c r="B40" s="4" t="s">
        <v>109</v>
      </c>
      <c r="C40" s="5">
        <v>19986680219</v>
      </c>
      <c r="D40" s="65">
        <v>45914</v>
      </c>
      <c r="E40" s="65">
        <v>46125</v>
      </c>
      <c r="F40" s="4">
        <v>1999</v>
      </c>
      <c r="G40" s="4">
        <v>90</v>
      </c>
      <c r="H40" s="66">
        <f t="shared" si="7"/>
        <v>22.2111111111111</v>
      </c>
      <c r="I40" s="4" t="s">
        <v>110</v>
      </c>
      <c r="J40" s="4" t="s">
        <v>111</v>
      </c>
      <c r="K40" s="4"/>
      <c r="L40" s="33">
        <v>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26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6"/>
      <c r="AQ40" s="4"/>
      <c r="AR40" s="4">
        <f t="shared" si="0"/>
        <v>0</v>
      </c>
      <c r="AS40" s="4">
        <f t="shared" si="5"/>
        <v>4</v>
      </c>
      <c r="AT40" s="32">
        <f t="shared" si="6"/>
        <v>88.8444444444444</v>
      </c>
      <c r="AU40" s="4"/>
      <c r="AV40" s="60"/>
      <c r="AW40" s="60"/>
      <c r="AX40" s="60"/>
      <c r="AY40" s="60"/>
      <c r="AZ40" s="60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</row>
    <row r="41" s="4" customFormat="1" customHeight="1" spans="1:63">
      <c r="A41" s="4">
        <v>40</v>
      </c>
      <c r="B41" s="4" t="s">
        <v>112</v>
      </c>
      <c r="C41" s="5">
        <v>13164682368</v>
      </c>
      <c r="D41" s="65">
        <v>45920</v>
      </c>
      <c r="E41" s="65">
        <v>46192</v>
      </c>
      <c r="F41" s="4">
        <v>1999</v>
      </c>
      <c r="G41" s="4">
        <v>90</v>
      </c>
      <c r="H41" s="66">
        <f t="shared" si="7"/>
        <v>22.2111111111111</v>
      </c>
      <c r="I41" s="4" t="s">
        <v>113</v>
      </c>
      <c r="J41" s="4" t="s">
        <v>114</v>
      </c>
      <c r="K41" s="4"/>
      <c r="L41" s="33">
        <v>29</v>
      </c>
      <c r="M41" s="4"/>
      <c r="N41" s="4"/>
      <c r="O41" s="4"/>
      <c r="P41" s="4"/>
      <c r="Q41" s="4"/>
      <c r="R41" s="4">
        <v>1</v>
      </c>
      <c r="S41" s="4">
        <v>1</v>
      </c>
      <c r="T41" s="4">
        <v>1</v>
      </c>
      <c r="U41" s="4">
        <v>1</v>
      </c>
      <c r="W41" s="4">
        <v>1</v>
      </c>
      <c r="X41" s="4">
        <v>1</v>
      </c>
      <c r="Y41" s="4">
        <v>1</v>
      </c>
      <c r="Z41" s="4"/>
      <c r="AA41" s="26">
        <v>1</v>
      </c>
      <c r="AB41" s="4"/>
      <c r="AC41" s="4"/>
      <c r="AP41" s="6"/>
      <c r="AR41" s="4">
        <f t="shared" si="0"/>
        <v>8</v>
      </c>
      <c r="AS41" s="4">
        <f t="shared" si="5"/>
        <v>21</v>
      </c>
      <c r="AT41" s="32">
        <f t="shared" si="6"/>
        <v>466.433333333333</v>
      </c>
      <c r="AV41" s="60"/>
      <c r="AW41" s="60"/>
      <c r="AX41" s="60"/>
      <c r="AY41" s="60"/>
      <c r="AZ41" s="60"/>
    </row>
    <row r="42" s="4" customFormat="1" customHeight="1" spans="1:63">
      <c r="A42" s="4">
        <v>41</v>
      </c>
      <c r="B42" s="56" t="s">
        <v>115</v>
      </c>
      <c r="C42" s="5">
        <v>18889887653</v>
      </c>
      <c r="D42" s="65">
        <v>46086</v>
      </c>
      <c r="E42" s="65">
        <v>46186</v>
      </c>
      <c r="F42" s="4">
        <v>1999</v>
      </c>
      <c r="G42" s="4">
        <v>90</v>
      </c>
      <c r="H42" s="66">
        <f t="shared" si="7"/>
        <v>22.2111111111111</v>
      </c>
      <c r="I42" s="4" t="s">
        <v>113</v>
      </c>
      <c r="J42" s="4" t="s">
        <v>116</v>
      </c>
      <c r="K42" s="4"/>
      <c r="L42" s="33">
        <v>1</v>
      </c>
      <c r="M42" s="4"/>
      <c r="N42" s="4"/>
      <c r="O42" s="4"/>
      <c r="P42" s="4"/>
      <c r="Q42" s="4"/>
      <c r="R42" s="4"/>
      <c r="S42" s="4"/>
      <c r="T42" s="4"/>
      <c r="U42" s="4"/>
      <c r="AA42" s="26"/>
      <c r="AB42" s="4"/>
      <c r="AC42" s="4"/>
      <c r="AP42" s="6"/>
      <c r="AR42" s="4">
        <f t="shared" si="0"/>
        <v>0</v>
      </c>
      <c r="AS42" s="4">
        <f t="shared" si="5"/>
        <v>1</v>
      </c>
      <c r="AT42" s="32">
        <f t="shared" si="6"/>
        <v>22.2111111111111</v>
      </c>
      <c r="AV42" s="60"/>
      <c r="AW42" s="60"/>
      <c r="AX42" s="60"/>
      <c r="AY42" s="60"/>
      <c r="AZ42" s="60"/>
    </row>
    <row r="43" s="9" customFormat="1" customHeight="1" spans="1:63">
      <c r="A43" s="4">
        <v>42</v>
      </c>
      <c r="B43" s="4" t="s">
        <v>117</v>
      </c>
      <c r="C43" s="5">
        <v>18871182880</v>
      </c>
      <c r="D43" s="65">
        <v>45946</v>
      </c>
      <c r="E43" s="65">
        <v>46068</v>
      </c>
      <c r="F43" s="4">
        <v>1399</v>
      </c>
      <c r="G43" s="4">
        <v>60</v>
      </c>
      <c r="H43" s="66">
        <f t="shared" si="7"/>
        <v>23.3166666666667</v>
      </c>
      <c r="I43" s="4" t="s">
        <v>118</v>
      </c>
      <c r="J43" s="4" t="s">
        <v>119</v>
      </c>
      <c r="K43" s="4"/>
      <c r="L43" s="33">
        <v>24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26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6"/>
      <c r="AQ43" s="4"/>
      <c r="AR43" s="4">
        <f t="shared" si="0"/>
        <v>0</v>
      </c>
      <c r="AS43" s="4">
        <f t="shared" si="5"/>
        <v>24</v>
      </c>
      <c r="AT43" s="32">
        <f t="shared" si="6"/>
        <v>559.600000000001</v>
      </c>
      <c r="AU43" s="4"/>
      <c r="AV43" s="60"/>
      <c r="AW43" s="60"/>
      <c r="AX43" s="60"/>
      <c r="AY43" s="60"/>
      <c r="AZ43" s="60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</row>
    <row r="44" s="9" customFormat="1" customHeight="1" spans="1:63">
      <c r="A44" s="4">
        <v>43</v>
      </c>
      <c r="B44" s="4" t="s">
        <v>120</v>
      </c>
      <c r="C44" s="5">
        <v>15771070650</v>
      </c>
      <c r="D44" s="65">
        <v>45947</v>
      </c>
      <c r="E44" s="65">
        <v>46069</v>
      </c>
      <c r="F44" s="4">
        <v>588</v>
      </c>
      <c r="G44" s="4">
        <v>20</v>
      </c>
      <c r="H44" s="66">
        <f t="shared" si="7"/>
        <v>29.4</v>
      </c>
      <c r="I44" s="4" t="s">
        <v>102</v>
      </c>
      <c r="J44" s="4" t="s">
        <v>121</v>
      </c>
      <c r="K44" s="4"/>
      <c r="L44" s="33">
        <v>4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26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6"/>
      <c r="AQ44" s="4"/>
      <c r="AR44" s="4">
        <f t="shared" si="0"/>
        <v>0</v>
      </c>
      <c r="AS44" s="4">
        <f t="shared" si="5"/>
        <v>4</v>
      </c>
      <c r="AT44" s="32">
        <f t="shared" si="6"/>
        <v>117.6</v>
      </c>
      <c r="AU44" s="4"/>
      <c r="AV44" s="60"/>
      <c r="AW44" s="60"/>
      <c r="AX44" s="60"/>
      <c r="AY44" s="60"/>
      <c r="AZ44" s="60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</row>
    <row r="45" s="9" customFormat="1" customHeight="1" spans="1:63">
      <c r="A45" s="4">
        <v>44</v>
      </c>
      <c r="B45" s="4" t="s">
        <v>122</v>
      </c>
      <c r="C45" s="5">
        <v>15764314669</v>
      </c>
      <c r="D45" s="65">
        <v>45951</v>
      </c>
      <c r="E45" s="65">
        <v>46073</v>
      </c>
      <c r="F45" s="4">
        <v>999</v>
      </c>
      <c r="G45" s="4">
        <v>40</v>
      </c>
      <c r="H45" s="66">
        <f t="shared" si="7"/>
        <v>24.975</v>
      </c>
      <c r="I45" s="4" t="s">
        <v>88</v>
      </c>
      <c r="J45" s="4" t="s">
        <v>123</v>
      </c>
      <c r="K45" s="4" t="s">
        <v>124</v>
      </c>
      <c r="L45" s="33">
        <v>13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26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6"/>
      <c r="AQ45" s="4"/>
      <c r="AR45" s="4">
        <f t="shared" si="0"/>
        <v>0</v>
      </c>
      <c r="AS45" s="4">
        <f t="shared" si="5"/>
        <v>13</v>
      </c>
      <c r="AT45" s="32">
        <f t="shared" si="6"/>
        <v>324.675</v>
      </c>
      <c r="AU45" s="4"/>
      <c r="AV45" s="60"/>
      <c r="AW45" s="60"/>
      <c r="AX45" s="60"/>
      <c r="AY45" s="60"/>
      <c r="AZ45" s="60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</row>
    <row r="46" customHeight="1" spans="1:63">
      <c r="A46" s="4">
        <v>45</v>
      </c>
      <c r="B46" s="4" t="s">
        <v>125</v>
      </c>
      <c r="C46" s="5">
        <v>18858772532</v>
      </c>
      <c r="D46" s="65">
        <v>45951</v>
      </c>
      <c r="E46" s="65">
        <v>46073</v>
      </c>
      <c r="F46" s="4">
        <v>538</v>
      </c>
      <c r="G46" s="4">
        <v>22</v>
      </c>
      <c r="H46" s="66">
        <f t="shared" si="7"/>
        <v>24.4545454545455</v>
      </c>
      <c r="I46" s="4" t="s">
        <v>126</v>
      </c>
      <c r="J46" s="4" t="s">
        <v>127</v>
      </c>
      <c r="K46" s="4" t="s">
        <v>128</v>
      </c>
      <c r="L46" s="33">
        <v>2</v>
      </c>
      <c r="AP46" s="6"/>
      <c r="AR46" s="4">
        <f t="shared" si="0"/>
        <v>0</v>
      </c>
      <c r="AS46" s="4">
        <f t="shared" si="5"/>
        <v>2</v>
      </c>
      <c r="AT46" s="32">
        <f t="shared" si="6"/>
        <v>48.909090909091</v>
      </c>
      <c r="AV46" s="60"/>
      <c r="AW46" s="60"/>
      <c r="AX46" s="60"/>
      <c r="AY46" s="60"/>
      <c r="AZ46" s="60"/>
    </row>
    <row r="47" s="9" customFormat="1" customHeight="1" spans="1:63">
      <c r="A47" s="4">
        <v>46</v>
      </c>
      <c r="B47" s="4" t="s">
        <v>129</v>
      </c>
      <c r="C47" s="5">
        <v>13257287214</v>
      </c>
      <c r="D47" s="65">
        <v>45952</v>
      </c>
      <c r="E47" s="65">
        <v>46074</v>
      </c>
      <c r="F47" s="4">
        <v>999</v>
      </c>
      <c r="G47" s="4">
        <v>42</v>
      </c>
      <c r="H47" s="66">
        <f t="shared" si="7"/>
        <v>23.7857142857143</v>
      </c>
      <c r="I47" s="4" t="s">
        <v>130</v>
      </c>
      <c r="J47" s="4" t="s">
        <v>131</v>
      </c>
      <c r="K47" s="4" t="s">
        <v>132</v>
      </c>
      <c r="L47" s="33">
        <v>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26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6"/>
      <c r="AQ47" s="4"/>
      <c r="AR47" s="4">
        <f t="shared" si="0"/>
        <v>0</v>
      </c>
      <c r="AS47" s="4">
        <f t="shared" si="5"/>
        <v>2</v>
      </c>
      <c r="AT47" s="32">
        <f t="shared" si="6"/>
        <v>47.5714285714286</v>
      </c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</row>
    <row r="48" customHeight="1" spans="1:63">
      <c r="A48" s="4">
        <v>47</v>
      </c>
      <c r="B48" s="56" t="s">
        <v>133</v>
      </c>
      <c r="C48" s="5">
        <v>13018088617</v>
      </c>
      <c r="D48" s="65">
        <v>45956</v>
      </c>
      <c r="E48" s="65">
        <v>46078</v>
      </c>
      <c r="F48" s="4">
        <v>788</v>
      </c>
      <c r="G48" s="4">
        <v>30</v>
      </c>
      <c r="H48" s="66">
        <f t="shared" si="7"/>
        <v>26.2666666666667</v>
      </c>
      <c r="I48" s="4" t="s">
        <v>134</v>
      </c>
      <c r="J48" s="4" t="s">
        <v>135</v>
      </c>
      <c r="L48" s="33">
        <v>10</v>
      </c>
      <c r="AP48" s="6"/>
      <c r="AR48" s="4">
        <f t="shared" si="0"/>
        <v>0</v>
      </c>
      <c r="AS48" s="4">
        <f t="shared" si="5"/>
        <v>10</v>
      </c>
      <c r="AT48" s="32">
        <f t="shared" si="6"/>
        <v>262.666666666667</v>
      </c>
    </row>
    <row r="49" s="9" customFormat="1" customHeight="1" spans="1:63">
      <c r="A49" s="4">
        <v>48</v>
      </c>
      <c r="B49" s="9" t="s">
        <v>136</v>
      </c>
      <c r="C49" s="10">
        <v>13628624376</v>
      </c>
      <c r="D49" s="71">
        <v>45959</v>
      </c>
      <c r="E49" s="71">
        <v>46081</v>
      </c>
      <c r="F49" s="9">
        <v>588</v>
      </c>
      <c r="G49" s="9">
        <v>20</v>
      </c>
      <c r="H49" s="72">
        <f t="shared" si="7"/>
        <v>29.4</v>
      </c>
      <c r="I49" s="9" t="s">
        <v>102</v>
      </c>
      <c r="J49" s="9" t="s">
        <v>137</v>
      </c>
      <c r="K49" s="9"/>
      <c r="L49" s="50">
        <v>16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4"/>
      <c r="Z49" s="4"/>
      <c r="AA49" s="26"/>
      <c r="AB49" s="4"/>
      <c r="AC49" s="4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73"/>
      <c r="AQ49" s="9"/>
      <c r="AR49" s="9">
        <f t="shared" si="0"/>
        <v>0</v>
      </c>
      <c r="AS49" s="9">
        <f t="shared" si="5"/>
        <v>16</v>
      </c>
      <c r="AT49" s="51">
        <f t="shared" si="6"/>
        <v>470.4</v>
      </c>
    </row>
    <row r="50" s="9" customFormat="1" customHeight="1" spans="1:63">
      <c r="A50" s="4">
        <v>49</v>
      </c>
      <c r="B50" s="4" t="s">
        <v>138</v>
      </c>
      <c r="C50" s="5">
        <v>13887419099</v>
      </c>
      <c r="D50" s="65">
        <v>45961</v>
      </c>
      <c r="E50" s="65">
        <v>46014</v>
      </c>
      <c r="F50" s="4">
        <v>299</v>
      </c>
      <c r="G50" s="4">
        <v>9</v>
      </c>
      <c r="H50" s="66">
        <f t="shared" si="7"/>
        <v>33.2222222222222</v>
      </c>
      <c r="I50" s="4" t="s">
        <v>139</v>
      </c>
      <c r="J50" s="4" t="s">
        <v>140</v>
      </c>
      <c r="K50" s="4"/>
      <c r="L50" s="33">
        <v>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26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6"/>
      <c r="AQ50" s="4"/>
      <c r="AR50" s="4">
        <f t="shared" si="0"/>
        <v>0</v>
      </c>
      <c r="AS50" s="4">
        <f t="shared" si="5"/>
        <v>2</v>
      </c>
      <c r="AT50" s="32">
        <f t="shared" si="6"/>
        <v>66.4444444444444</v>
      </c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</row>
    <row r="51" s="9" customFormat="1" customHeight="1" spans="1:63">
      <c r="A51" s="4">
        <v>50</v>
      </c>
      <c r="B51" s="4" t="s">
        <v>141</v>
      </c>
      <c r="C51" s="5">
        <v>13999385702</v>
      </c>
      <c r="D51" s="65">
        <v>45964</v>
      </c>
      <c r="E51" s="65">
        <v>46086</v>
      </c>
      <c r="F51" s="4">
        <v>788</v>
      </c>
      <c r="G51" s="4">
        <v>32</v>
      </c>
      <c r="H51" s="66">
        <f t="shared" si="7"/>
        <v>24.625</v>
      </c>
      <c r="I51" s="4" t="s">
        <v>142</v>
      </c>
      <c r="J51" s="4" t="s">
        <v>143</v>
      </c>
      <c r="K51" s="4" t="s">
        <v>144</v>
      </c>
      <c r="L51" s="33">
        <v>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26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6"/>
      <c r="AQ51" s="4"/>
      <c r="AR51" s="4">
        <f t="shared" si="0"/>
        <v>0</v>
      </c>
      <c r="AS51" s="4">
        <f t="shared" si="5"/>
        <v>1</v>
      </c>
      <c r="AT51" s="32">
        <f t="shared" si="6"/>
        <v>24.625</v>
      </c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</row>
    <row r="52" customHeight="1" spans="1:63">
      <c r="A52" s="4">
        <v>51</v>
      </c>
      <c r="B52" s="4" t="s">
        <v>145</v>
      </c>
      <c r="C52" s="5">
        <v>15737635581</v>
      </c>
      <c r="D52" s="65">
        <v>45964</v>
      </c>
      <c r="E52" s="65">
        <v>46086</v>
      </c>
      <c r="F52" s="4">
        <v>500</v>
      </c>
      <c r="G52" s="4">
        <v>20</v>
      </c>
      <c r="H52" s="66">
        <f t="shared" si="7"/>
        <v>25</v>
      </c>
      <c r="I52" s="4" t="s">
        <v>146</v>
      </c>
      <c r="J52" s="4" t="s">
        <v>147</v>
      </c>
      <c r="K52" s="4" t="s">
        <v>148</v>
      </c>
      <c r="L52" s="33">
        <v>8</v>
      </c>
      <c r="AP52" s="6"/>
      <c r="AR52" s="4">
        <f t="shared" si="0"/>
        <v>0</v>
      </c>
      <c r="AS52" s="4">
        <f t="shared" si="5"/>
        <v>8</v>
      </c>
      <c r="AT52" s="32">
        <f t="shared" si="6"/>
        <v>200</v>
      </c>
    </row>
    <row r="53" s="9" customFormat="1" customHeight="1" spans="1:63">
      <c r="A53" s="4">
        <v>52</v>
      </c>
      <c r="B53" s="4" t="s">
        <v>149</v>
      </c>
      <c r="C53" s="5">
        <v>18875420951</v>
      </c>
      <c r="D53" s="65">
        <v>45964</v>
      </c>
      <c r="E53" s="65">
        <v>46175</v>
      </c>
      <c r="F53" s="4">
        <v>1999</v>
      </c>
      <c r="G53" s="4">
        <v>90</v>
      </c>
      <c r="H53" s="66">
        <f t="shared" si="7"/>
        <v>22.2111111111111</v>
      </c>
      <c r="I53" s="4" t="s">
        <v>110</v>
      </c>
      <c r="J53" s="4" t="s">
        <v>150</v>
      </c>
      <c r="K53" s="4"/>
      <c r="L53" s="33">
        <v>22</v>
      </c>
      <c r="M53" s="4"/>
      <c r="N53" s="4"/>
      <c r="O53" s="4"/>
      <c r="P53" s="4"/>
      <c r="Q53" s="4"/>
      <c r="R53" s="4"/>
      <c r="S53" s="4"/>
      <c r="T53" s="4">
        <v>2</v>
      </c>
      <c r="U53" s="4">
        <v>2</v>
      </c>
      <c r="V53" s="4"/>
      <c r="W53" s="4"/>
      <c r="X53" s="4"/>
      <c r="Y53" s="4"/>
      <c r="Z53" s="4"/>
      <c r="AA53" s="26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5"/>
      <c r="AQ53" s="5"/>
      <c r="AR53" s="4">
        <f t="shared" si="0"/>
        <v>4</v>
      </c>
      <c r="AS53" s="4">
        <f t="shared" si="5"/>
        <v>18</v>
      </c>
      <c r="AT53" s="32">
        <f t="shared" si="6"/>
        <v>399.8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</row>
    <row r="54" s="9" customFormat="1" customHeight="1" spans="1:63">
      <c r="A54" s="4">
        <v>53</v>
      </c>
      <c r="B54" s="4" t="s">
        <v>151</v>
      </c>
      <c r="C54" s="5">
        <v>13117085708</v>
      </c>
      <c r="D54" s="65">
        <v>45967</v>
      </c>
      <c r="E54" s="65">
        <v>46089</v>
      </c>
      <c r="F54" s="4">
        <v>788</v>
      </c>
      <c r="G54" s="4">
        <v>30</v>
      </c>
      <c r="H54" s="66">
        <f t="shared" si="7"/>
        <v>26.2666666666667</v>
      </c>
      <c r="I54" s="4" t="s">
        <v>134</v>
      </c>
      <c r="J54" s="4" t="s">
        <v>152</v>
      </c>
      <c r="K54" s="4"/>
      <c r="L54" s="33">
        <v>1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26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6"/>
      <c r="AQ54" s="4"/>
      <c r="AR54" s="4">
        <f t="shared" si="0"/>
        <v>0</v>
      </c>
      <c r="AS54" s="4">
        <f t="shared" si="5"/>
        <v>1</v>
      </c>
      <c r="AT54" s="32">
        <f t="shared" si="6"/>
        <v>26.2666666666667</v>
      </c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</row>
    <row r="55" customHeight="1" spans="1:63">
      <c r="A55" s="4">
        <v>54</v>
      </c>
      <c r="B55" s="4" t="s">
        <v>153</v>
      </c>
      <c r="C55" s="5">
        <v>19884803013</v>
      </c>
      <c r="D55" s="65">
        <v>45970</v>
      </c>
      <c r="E55" s="65">
        <v>46181</v>
      </c>
      <c r="F55" s="4">
        <v>1399</v>
      </c>
      <c r="G55" s="4">
        <v>63</v>
      </c>
      <c r="H55" s="66">
        <f t="shared" si="7"/>
        <v>22.2063492063492</v>
      </c>
      <c r="I55" s="4" t="s">
        <v>154</v>
      </c>
      <c r="J55" s="4" t="s">
        <v>155</v>
      </c>
      <c r="K55" s="4" t="s">
        <v>156</v>
      </c>
      <c r="L55" s="33">
        <v>3</v>
      </c>
      <c r="R55" s="4">
        <v>1</v>
      </c>
      <c r="AP55" s="6"/>
      <c r="AR55" s="4">
        <f t="shared" si="0"/>
        <v>1</v>
      </c>
      <c r="AS55" s="4">
        <f t="shared" si="5"/>
        <v>2</v>
      </c>
      <c r="AT55" s="32">
        <f t="shared" si="6"/>
        <v>44.4126984126984</v>
      </c>
    </row>
    <row r="56" s="9" customFormat="1" customHeight="1" spans="1:63">
      <c r="A56" s="4">
        <v>55</v>
      </c>
      <c r="B56" s="56" t="s">
        <v>157</v>
      </c>
      <c r="C56" s="5">
        <v>13227530814</v>
      </c>
      <c r="D56" s="65">
        <v>45971</v>
      </c>
      <c r="E56" s="65">
        <v>46093</v>
      </c>
      <c r="F56" s="4">
        <v>788</v>
      </c>
      <c r="G56" s="4">
        <v>30</v>
      </c>
      <c r="H56" s="66">
        <f t="shared" si="7"/>
        <v>26.2666666666667</v>
      </c>
      <c r="I56" s="4" t="s">
        <v>134</v>
      </c>
      <c r="J56" s="4" t="s">
        <v>158</v>
      </c>
      <c r="K56" s="4"/>
      <c r="L56" s="33">
        <v>3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26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6"/>
      <c r="AQ56" s="4"/>
      <c r="AR56" s="4">
        <f t="shared" si="0"/>
        <v>0</v>
      </c>
      <c r="AS56" s="4">
        <f t="shared" si="5"/>
        <v>3</v>
      </c>
      <c r="AT56" s="32">
        <f t="shared" si="6"/>
        <v>78.8000000000001</v>
      </c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</row>
    <row r="57" s="9" customFormat="1" customHeight="1" spans="1:63">
      <c r="A57" s="4">
        <v>56</v>
      </c>
      <c r="B57" s="9" t="s">
        <v>159</v>
      </c>
      <c r="C57" s="10">
        <v>13080670153</v>
      </c>
      <c r="D57" s="71">
        <v>45971</v>
      </c>
      <c r="E57" s="71">
        <v>46093</v>
      </c>
      <c r="F57" s="9">
        <v>588</v>
      </c>
      <c r="G57" s="9">
        <v>20</v>
      </c>
      <c r="H57" s="72">
        <f t="shared" si="7"/>
        <v>29.4</v>
      </c>
      <c r="I57" s="9" t="s">
        <v>160</v>
      </c>
      <c r="J57" s="9" t="s">
        <v>161</v>
      </c>
      <c r="K57" s="9"/>
      <c r="L57" s="50">
        <v>3</v>
      </c>
      <c r="M57" s="9"/>
      <c r="N57" s="9"/>
      <c r="O57" s="9"/>
      <c r="P57" s="9"/>
      <c r="Q57" s="9"/>
      <c r="R57" s="9">
        <v>1</v>
      </c>
      <c r="S57" s="9"/>
      <c r="T57" s="9"/>
      <c r="U57" s="9"/>
      <c r="V57" s="9"/>
      <c r="W57" s="9"/>
      <c r="X57" s="9"/>
      <c r="Y57" s="9">
        <v>1</v>
      </c>
      <c r="Z57" s="9">
        <v>1</v>
      </c>
      <c r="AA57" s="26"/>
      <c r="AB57" s="4"/>
      <c r="AC57" s="4"/>
      <c r="AD57" s="4"/>
      <c r="AE57" s="4"/>
      <c r="AF57" s="4"/>
      <c r="AG57" s="4"/>
      <c r="AH57" s="4"/>
      <c r="AI57" s="4"/>
      <c r="AJ57" s="4"/>
      <c r="AK57" s="6"/>
      <c r="AL57" s="4"/>
      <c r="AM57" s="4"/>
      <c r="AN57" s="4"/>
      <c r="AO57" s="4"/>
      <c r="AP57" s="6"/>
      <c r="AQ57" s="4"/>
      <c r="AR57" s="9">
        <f t="shared" si="0"/>
        <v>3</v>
      </c>
      <c r="AS57" s="9">
        <f t="shared" si="5"/>
        <v>0</v>
      </c>
      <c r="AT57" s="51">
        <f t="shared" si="6"/>
        <v>0</v>
      </c>
    </row>
    <row r="58" s="9" customFormat="1" customHeight="1" spans="1:63">
      <c r="A58" s="4">
        <v>57</v>
      </c>
      <c r="B58" s="4" t="s">
        <v>162</v>
      </c>
      <c r="C58" s="5">
        <v>19398686616</v>
      </c>
      <c r="D58" s="65">
        <v>45972</v>
      </c>
      <c r="E58" s="65">
        <v>46214</v>
      </c>
      <c r="F58" s="4">
        <v>1999</v>
      </c>
      <c r="G58" s="4">
        <v>90</v>
      </c>
      <c r="H58" s="66">
        <f t="shared" si="7"/>
        <v>22.2111111111111</v>
      </c>
      <c r="I58" s="74" t="s">
        <v>163</v>
      </c>
      <c r="J58" s="4" t="s">
        <v>164</v>
      </c>
      <c r="K58" s="4" t="s">
        <v>165</v>
      </c>
      <c r="L58" s="33">
        <v>10</v>
      </c>
      <c r="M58" s="4"/>
      <c r="N58" s="4"/>
      <c r="O58" s="4"/>
      <c r="P58" s="4"/>
      <c r="Q58" s="4"/>
      <c r="R58" s="4">
        <v>1</v>
      </c>
      <c r="S58" s="4">
        <v>1</v>
      </c>
      <c r="T58" s="4"/>
      <c r="U58" s="4"/>
      <c r="V58" s="4"/>
      <c r="W58" s="4"/>
      <c r="X58" s="4">
        <v>1</v>
      </c>
      <c r="Y58" s="4">
        <v>1</v>
      </c>
      <c r="Z58" s="4"/>
      <c r="AA58" s="26">
        <v>2</v>
      </c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6"/>
      <c r="AQ58" s="4"/>
      <c r="AR58" s="4">
        <f t="shared" si="0"/>
        <v>6</v>
      </c>
      <c r="AS58" s="4">
        <f t="shared" si="5"/>
        <v>4</v>
      </c>
      <c r="AT58" s="32">
        <f t="shared" si="6"/>
        <v>88.8444444444444</v>
      </c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</row>
    <row r="59" customHeight="1" spans="1:63">
      <c r="A59" s="4">
        <v>58</v>
      </c>
      <c r="B59" s="4" t="s">
        <v>166</v>
      </c>
      <c r="C59" s="5">
        <v>13098813655</v>
      </c>
      <c r="D59" s="65">
        <v>45974</v>
      </c>
      <c r="E59" s="65">
        <v>46034</v>
      </c>
      <c r="F59" s="4">
        <v>299</v>
      </c>
      <c r="G59" s="4">
        <v>9</v>
      </c>
      <c r="H59" s="66">
        <f t="shared" si="7"/>
        <v>33.2222222222222</v>
      </c>
      <c r="I59" s="4" t="s">
        <v>139</v>
      </c>
      <c r="J59" s="4" t="s">
        <v>167</v>
      </c>
      <c r="L59" s="33">
        <v>1</v>
      </c>
      <c r="AP59" s="6"/>
      <c r="AR59" s="4">
        <f t="shared" si="0"/>
        <v>0</v>
      </c>
      <c r="AS59" s="4">
        <f t="shared" si="5"/>
        <v>1</v>
      </c>
      <c r="AT59" s="32">
        <f t="shared" si="6"/>
        <v>33.2222222222222</v>
      </c>
      <c r="AU59" s="4">
        <v>33.2</v>
      </c>
    </row>
    <row r="60" s="4" customFormat="1" customHeight="1" spans="1:63">
      <c r="A60" s="4">
        <v>59</v>
      </c>
      <c r="B60" s="4" t="s">
        <v>168</v>
      </c>
      <c r="C60" s="5">
        <v>13669026127</v>
      </c>
      <c r="D60" s="65">
        <v>45977</v>
      </c>
      <c r="E60" s="65">
        <v>46099</v>
      </c>
      <c r="F60" s="4">
        <v>788</v>
      </c>
      <c r="G60" s="4">
        <v>30</v>
      </c>
      <c r="H60" s="66">
        <f t="shared" si="7"/>
        <v>26.2666666666667</v>
      </c>
      <c r="I60" s="4" t="s">
        <v>134</v>
      </c>
      <c r="J60" s="4" t="s">
        <v>169</v>
      </c>
      <c r="L60" s="33">
        <v>20</v>
      </c>
      <c r="AA60" s="26"/>
      <c r="AB60" s="4"/>
      <c r="AC60" s="4"/>
      <c r="AP60" s="6"/>
      <c r="AR60" s="4">
        <f t="shared" si="0"/>
        <v>0</v>
      </c>
      <c r="AS60" s="4">
        <f t="shared" si="5"/>
        <v>20</v>
      </c>
      <c r="AT60" s="32">
        <f t="shared" si="6"/>
        <v>525.333333333334</v>
      </c>
    </row>
    <row r="61" customHeight="1" spans="1:63">
      <c r="A61" s="4">
        <v>60</v>
      </c>
      <c r="B61" s="4" t="s">
        <v>170</v>
      </c>
      <c r="C61" s="5">
        <v>18672382665</v>
      </c>
      <c r="D61" s="65">
        <v>45982</v>
      </c>
      <c r="E61" s="65">
        <v>46104</v>
      </c>
      <c r="F61" s="4">
        <v>588</v>
      </c>
      <c r="G61" s="4">
        <v>20</v>
      </c>
      <c r="H61" s="66">
        <f t="shared" si="7"/>
        <v>29.4</v>
      </c>
      <c r="I61" s="4" t="s">
        <v>160</v>
      </c>
      <c r="J61" s="4" t="s">
        <v>171</v>
      </c>
      <c r="L61" s="33">
        <v>13</v>
      </c>
      <c r="AP61" s="6"/>
      <c r="AR61" s="4">
        <f t="shared" si="0"/>
        <v>0</v>
      </c>
      <c r="AS61" s="4">
        <f t="shared" si="5"/>
        <v>13</v>
      </c>
      <c r="AT61" s="32">
        <f t="shared" si="6"/>
        <v>382.2</v>
      </c>
    </row>
    <row r="62" s="9" customFormat="1" customHeight="1" spans="1:63">
      <c r="A62" s="4">
        <v>61</v>
      </c>
      <c r="B62" s="4" t="s">
        <v>172</v>
      </c>
      <c r="C62" s="5">
        <v>13258336551</v>
      </c>
      <c r="D62" s="65">
        <v>45984</v>
      </c>
      <c r="E62" s="65">
        <v>46106</v>
      </c>
      <c r="F62" s="4">
        <v>999</v>
      </c>
      <c r="G62" s="4">
        <v>40</v>
      </c>
      <c r="H62" s="66">
        <f t="shared" si="7"/>
        <v>24.975</v>
      </c>
      <c r="I62" s="4" t="s">
        <v>85</v>
      </c>
      <c r="J62" s="4" t="s">
        <v>173</v>
      </c>
      <c r="K62" s="4"/>
      <c r="L62" s="33">
        <v>4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26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6"/>
      <c r="AQ62" s="4"/>
      <c r="AR62" s="4">
        <f t="shared" si="0"/>
        <v>0</v>
      </c>
      <c r="AS62" s="4">
        <f t="shared" si="5"/>
        <v>4</v>
      </c>
      <c r="AT62" s="32">
        <f t="shared" si="6"/>
        <v>99.9</v>
      </c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</row>
    <row r="63" s="9" customFormat="1" customHeight="1" spans="1:63">
      <c r="A63" s="4">
        <v>62</v>
      </c>
      <c r="B63" s="4" t="s">
        <v>174</v>
      </c>
      <c r="C63" s="5">
        <v>13390766535</v>
      </c>
      <c r="D63" s="65">
        <v>45998</v>
      </c>
      <c r="E63" s="65">
        <v>46118</v>
      </c>
      <c r="F63" s="4">
        <v>588</v>
      </c>
      <c r="G63" s="4">
        <v>20</v>
      </c>
      <c r="H63" s="66">
        <f t="shared" si="7"/>
        <v>29.4</v>
      </c>
      <c r="I63" s="4" t="s">
        <v>102</v>
      </c>
      <c r="J63" s="4" t="s">
        <v>175</v>
      </c>
      <c r="K63" s="4" t="s">
        <v>176</v>
      </c>
      <c r="L63" s="33">
        <v>11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26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6"/>
      <c r="AQ63" s="4"/>
      <c r="AR63" s="4">
        <f t="shared" si="0"/>
        <v>0</v>
      </c>
      <c r="AS63" s="4">
        <f t="shared" si="5"/>
        <v>11</v>
      </c>
      <c r="AT63" s="32">
        <f t="shared" si="6"/>
        <v>323.4</v>
      </c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</row>
    <row r="64" customHeight="1" spans="1:63">
      <c r="A64" s="4">
        <v>63</v>
      </c>
      <c r="B64" s="4" t="s">
        <v>177</v>
      </c>
      <c r="C64" s="5">
        <v>18627271998</v>
      </c>
      <c r="D64" s="65">
        <v>45993</v>
      </c>
      <c r="E64" s="65">
        <v>46143</v>
      </c>
      <c r="F64" s="4">
        <v>960</v>
      </c>
      <c r="G64" s="4">
        <v>40</v>
      </c>
      <c r="H64" s="66">
        <f t="shared" si="7"/>
        <v>24</v>
      </c>
      <c r="I64" s="4" t="s">
        <v>178</v>
      </c>
      <c r="J64" s="4" t="s">
        <v>179</v>
      </c>
      <c r="L64" s="1">
        <v>3</v>
      </c>
      <c r="AP64" s="6"/>
      <c r="AR64" s="4">
        <f t="shared" si="0"/>
        <v>0</v>
      </c>
      <c r="AS64" s="4">
        <f t="shared" si="5"/>
        <v>3</v>
      </c>
      <c r="AT64" s="32">
        <f t="shared" si="6"/>
        <v>72</v>
      </c>
    </row>
    <row r="65" s="9" customFormat="1" customHeight="1" spans="1:63">
      <c r="A65" s="4">
        <v>64</v>
      </c>
      <c r="B65" s="4" t="s">
        <v>180</v>
      </c>
      <c r="C65" s="5">
        <v>13972177696</v>
      </c>
      <c r="D65" s="65">
        <v>46129</v>
      </c>
      <c r="E65" s="65">
        <v>46258</v>
      </c>
      <c r="F65" s="4">
        <v>488</v>
      </c>
      <c r="G65" s="4">
        <v>20</v>
      </c>
      <c r="H65" s="66">
        <f t="shared" si="7"/>
        <v>24.4</v>
      </c>
      <c r="I65" s="4" t="s">
        <v>63</v>
      </c>
      <c r="J65" s="4" t="s">
        <v>181</v>
      </c>
      <c r="K65" s="56" t="s">
        <v>182</v>
      </c>
      <c r="L65" s="75">
        <v>5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26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6"/>
      <c r="AQ65" s="4"/>
      <c r="AR65" s="4">
        <f t="shared" si="0"/>
        <v>0</v>
      </c>
      <c r="AS65" s="4">
        <f t="shared" si="5"/>
        <v>5</v>
      </c>
      <c r="AT65" s="32">
        <f t="shared" si="6"/>
        <v>122</v>
      </c>
      <c r="AU65" s="76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</row>
    <row r="66" customHeight="1" spans="1:63">
      <c r="A66" s="4">
        <v>65</v>
      </c>
      <c r="B66" s="56" t="s">
        <v>183</v>
      </c>
      <c r="C66" s="5">
        <v>18696169090</v>
      </c>
      <c r="D66" s="65">
        <v>46012</v>
      </c>
      <c r="E66" s="65">
        <v>46073</v>
      </c>
      <c r="F66" s="4">
        <v>299</v>
      </c>
      <c r="G66" s="4">
        <v>9</v>
      </c>
      <c r="H66" s="66">
        <f t="shared" si="7"/>
        <v>33.2222222222222</v>
      </c>
      <c r="I66" s="56" t="s">
        <v>139</v>
      </c>
      <c r="J66" s="77" t="s">
        <v>184</v>
      </c>
      <c r="L66" s="4">
        <v>7</v>
      </c>
      <c r="AP66" s="6"/>
      <c r="AR66" s="4">
        <f t="shared" si="0"/>
        <v>0</v>
      </c>
      <c r="AS66" s="4">
        <f t="shared" si="5"/>
        <v>7</v>
      </c>
      <c r="AT66" s="32">
        <f t="shared" si="6"/>
        <v>232.555555555555</v>
      </c>
    </row>
    <row r="67" customHeight="1" spans="1:63">
      <c r="A67" s="4">
        <v>66</v>
      </c>
      <c r="B67" s="9" t="s">
        <v>185</v>
      </c>
      <c r="C67" s="10">
        <v>18105133107</v>
      </c>
      <c r="D67" s="71">
        <v>46025</v>
      </c>
      <c r="E67" s="71">
        <v>46145</v>
      </c>
      <c r="F67" s="9">
        <v>999</v>
      </c>
      <c r="G67" s="9">
        <v>40</v>
      </c>
      <c r="H67" s="72">
        <f t="shared" si="7"/>
        <v>24.975</v>
      </c>
      <c r="I67" s="9" t="s">
        <v>85</v>
      </c>
      <c r="J67" s="9" t="s">
        <v>186</v>
      </c>
      <c r="K67" s="73" t="s">
        <v>187</v>
      </c>
      <c r="L67" s="50">
        <v>0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73"/>
      <c r="AQ67" s="9"/>
      <c r="AR67" s="9">
        <f t="shared" ref="AR67:AR130" si="8">SUM(M67:AQ67)</f>
        <v>0</v>
      </c>
      <c r="AS67" s="9">
        <f t="shared" si="5"/>
        <v>0</v>
      </c>
      <c r="AT67" s="51">
        <f t="shared" si="6"/>
        <v>0</v>
      </c>
      <c r="AU67" s="9">
        <v>74.9</v>
      </c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</row>
    <row r="68" s="9" customFormat="1" customHeight="1" spans="1:63">
      <c r="A68" s="4">
        <v>67</v>
      </c>
      <c r="B68" s="4" t="s">
        <v>188</v>
      </c>
      <c r="C68" s="5">
        <v>18627163213</v>
      </c>
      <c r="D68" s="65">
        <v>46034</v>
      </c>
      <c r="E68" s="65">
        <v>46173</v>
      </c>
      <c r="F68" s="4">
        <v>788</v>
      </c>
      <c r="G68" s="4">
        <v>30</v>
      </c>
      <c r="H68" s="66">
        <f t="shared" si="7"/>
        <v>26.2666666666667</v>
      </c>
      <c r="I68" s="4" t="s">
        <v>189</v>
      </c>
      <c r="J68" s="4" t="s">
        <v>190</v>
      </c>
      <c r="K68" s="56" t="s">
        <v>191</v>
      </c>
      <c r="L68" s="75">
        <v>16</v>
      </c>
      <c r="M68" s="4"/>
      <c r="N68" s="4"/>
      <c r="O68" s="4"/>
      <c r="P68" s="4"/>
      <c r="Q68" s="4"/>
      <c r="R68" s="4"/>
      <c r="S68" s="4">
        <v>1</v>
      </c>
      <c r="T68" s="4"/>
      <c r="U68" s="4"/>
      <c r="V68" s="4"/>
      <c r="W68" s="4"/>
      <c r="X68" s="4"/>
      <c r="Y68" s="4"/>
      <c r="Z68" s="4"/>
      <c r="AA68" s="26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6"/>
      <c r="AQ68" s="4"/>
      <c r="AR68" s="4">
        <f t="shared" si="8"/>
        <v>1</v>
      </c>
      <c r="AS68" s="4">
        <f t="shared" si="5"/>
        <v>15</v>
      </c>
      <c r="AT68" s="32">
        <f t="shared" si="6"/>
        <v>394.000000000001</v>
      </c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</row>
    <row r="69" customHeight="1" spans="1:63">
      <c r="A69" s="4">
        <v>68</v>
      </c>
      <c r="B69" s="4" t="s">
        <v>192</v>
      </c>
      <c r="C69" s="5">
        <v>13971659003</v>
      </c>
      <c r="D69" s="65">
        <v>46035</v>
      </c>
      <c r="E69" s="65">
        <v>46191</v>
      </c>
      <c r="F69" s="4">
        <v>1399</v>
      </c>
      <c r="G69" s="4">
        <v>60</v>
      </c>
      <c r="H69" s="66">
        <f t="shared" si="7"/>
        <v>23.3166666666667</v>
      </c>
      <c r="I69" s="4" t="s">
        <v>193</v>
      </c>
      <c r="J69" s="56" t="s">
        <v>194</v>
      </c>
      <c r="L69" s="1">
        <v>31</v>
      </c>
      <c r="R69" s="4">
        <v>2</v>
      </c>
      <c r="T69" s="4">
        <v>2</v>
      </c>
      <c r="AP69" s="6"/>
      <c r="AR69" s="4">
        <f t="shared" si="8"/>
        <v>4</v>
      </c>
      <c r="AS69" s="4">
        <f t="shared" si="5"/>
        <v>27</v>
      </c>
      <c r="AT69" s="32">
        <f t="shared" si="6"/>
        <v>629.550000000001</v>
      </c>
    </row>
    <row r="70" customHeight="1" spans="1:63">
      <c r="A70" s="4">
        <v>69</v>
      </c>
      <c r="B70" s="4" t="s">
        <v>195</v>
      </c>
      <c r="C70" s="5">
        <v>18771563231</v>
      </c>
      <c r="D70" s="65">
        <v>46035</v>
      </c>
      <c r="E70" s="65">
        <v>46096</v>
      </c>
      <c r="F70" s="4">
        <v>499</v>
      </c>
      <c r="G70" s="4">
        <v>22</v>
      </c>
      <c r="H70" s="66">
        <f t="shared" si="7"/>
        <v>22.6818181818182</v>
      </c>
      <c r="I70" s="4" t="s">
        <v>196</v>
      </c>
      <c r="J70" s="56" t="s">
        <v>197</v>
      </c>
      <c r="L70" s="4">
        <v>15</v>
      </c>
      <c r="AP70" s="6"/>
      <c r="AR70" s="4">
        <f t="shared" si="8"/>
        <v>0</v>
      </c>
      <c r="AS70" s="4">
        <f t="shared" si="5"/>
        <v>15</v>
      </c>
      <c r="AT70" s="32">
        <f t="shared" si="6"/>
        <v>340.227272727273</v>
      </c>
    </row>
    <row r="71" s="9" customFormat="1" customHeight="1" spans="1:63">
      <c r="A71" s="4">
        <v>70</v>
      </c>
      <c r="B71" s="4" t="s">
        <v>198</v>
      </c>
      <c r="C71" s="5">
        <v>13789991434</v>
      </c>
      <c r="D71" s="65">
        <v>46036</v>
      </c>
      <c r="E71" s="65">
        <v>46097</v>
      </c>
      <c r="F71" s="4">
        <v>588</v>
      </c>
      <c r="G71" s="4">
        <v>20</v>
      </c>
      <c r="H71" s="66">
        <f t="shared" si="7"/>
        <v>29.4</v>
      </c>
      <c r="I71" s="4" t="s">
        <v>102</v>
      </c>
      <c r="J71" s="56" t="s">
        <v>199</v>
      </c>
      <c r="K71" s="4"/>
      <c r="L71" s="4">
        <v>16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26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6"/>
      <c r="AQ71" s="4"/>
      <c r="AR71" s="4">
        <f t="shared" si="8"/>
        <v>0</v>
      </c>
      <c r="AS71" s="4">
        <f t="shared" si="5"/>
        <v>16</v>
      </c>
      <c r="AT71" s="32">
        <f t="shared" si="6"/>
        <v>470.4</v>
      </c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</row>
    <row r="72" s="9" customFormat="1" customHeight="1" spans="1:63">
      <c r="A72" s="4">
        <v>71</v>
      </c>
      <c r="B72" s="4" t="s">
        <v>200</v>
      </c>
      <c r="C72" s="5">
        <v>15172444671</v>
      </c>
      <c r="D72" s="65">
        <v>46037</v>
      </c>
      <c r="E72" s="65">
        <v>46098</v>
      </c>
      <c r="F72" s="4">
        <v>499</v>
      </c>
      <c r="G72" s="4">
        <v>22</v>
      </c>
      <c r="H72" s="66">
        <f t="shared" si="7"/>
        <v>22.6818181818182</v>
      </c>
      <c r="I72" s="4" t="s">
        <v>196</v>
      </c>
      <c r="J72" s="77" t="s">
        <v>201</v>
      </c>
      <c r="K72" s="4"/>
      <c r="L72" s="4">
        <v>5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26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6"/>
      <c r="AQ72" s="4"/>
      <c r="AR72" s="4">
        <f t="shared" si="8"/>
        <v>0</v>
      </c>
      <c r="AS72" s="4">
        <f t="shared" ref="AS72:AS101" si="9">L72-AR72</f>
        <v>5</v>
      </c>
      <c r="AT72" s="32">
        <f t="shared" ref="AT72:AT101" si="10">AS72*H72</f>
        <v>113.409090909091</v>
      </c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</row>
    <row r="73" customHeight="1" spans="1:63">
      <c r="A73" s="4">
        <v>72</v>
      </c>
      <c r="B73" s="4" t="s">
        <v>202</v>
      </c>
      <c r="C73" s="5">
        <v>13147114955</v>
      </c>
      <c r="D73" s="65">
        <v>46037</v>
      </c>
      <c r="E73" s="65">
        <v>46157</v>
      </c>
      <c r="F73" s="4">
        <v>788</v>
      </c>
      <c r="G73" s="4">
        <v>30</v>
      </c>
      <c r="H73" s="66">
        <f t="shared" si="7"/>
        <v>26.2666666666667</v>
      </c>
      <c r="I73" s="4" t="s">
        <v>134</v>
      </c>
      <c r="J73" s="56" t="s">
        <v>203</v>
      </c>
      <c r="L73" s="4">
        <v>4</v>
      </c>
      <c r="S73" s="4">
        <v>1</v>
      </c>
      <c r="X73" s="4">
        <v>1</v>
      </c>
      <c r="Y73" s="4">
        <v>1</v>
      </c>
      <c r="AP73" s="6"/>
      <c r="AR73" s="4">
        <f t="shared" si="8"/>
        <v>3</v>
      </c>
      <c r="AS73" s="4">
        <f t="shared" si="9"/>
        <v>1</v>
      </c>
      <c r="AT73" s="32">
        <f t="shared" si="10"/>
        <v>26.2666666666667</v>
      </c>
    </row>
    <row r="74" s="4" customFormat="1" customHeight="1" spans="1:63">
      <c r="A74" s="4">
        <v>73</v>
      </c>
      <c r="B74" s="4" t="s">
        <v>204</v>
      </c>
      <c r="C74" s="5">
        <v>18521038586</v>
      </c>
      <c r="D74" s="65">
        <v>46041</v>
      </c>
      <c r="E74" s="65">
        <v>46102</v>
      </c>
      <c r="F74" s="4">
        <v>299</v>
      </c>
      <c r="G74" s="4">
        <v>9</v>
      </c>
      <c r="H74" s="66">
        <f t="shared" si="7"/>
        <v>33.2222222222222</v>
      </c>
      <c r="I74" s="56" t="s">
        <v>139</v>
      </c>
      <c r="J74" s="77" t="s">
        <v>205</v>
      </c>
      <c r="K74" s="1"/>
      <c r="L74" s="4">
        <v>2</v>
      </c>
      <c r="AA74" s="26"/>
      <c r="AB74" s="4"/>
      <c r="AC74" s="4"/>
      <c r="AP74" s="6"/>
      <c r="AR74" s="4">
        <f t="shared" si="8"/>
        <v>0</v>
      </c>
      <c r="AS74" s="4">
        <f t="shared" si="9"/>
        <v>2</v>
      </c>
      <c r="AT74" s="32">
        <f t="shared" si="10"/>
        <v>66.4444444444444</v>
      </c>
    </row>
    <row r="75" customHeight="1" spans="1:63">
      <c r="A75" s="4">
        <v>74</v>
      </c>
      <c r="B75" s="4" t="s">
        <v>206</v>
      </c>
      <c r="C75" s="5">
        <v>15671568253</v>
      </c>
      <c r="D75" s="65">
        <v>46044</v>
      </c>
      <c r="E75" s="65">
        <v>46164</v>
      </c>
      <c r="F75" s="4">
        <v>588</v>
      </c>
      <c r="G75" s="4">
        <v>20</v>
      </c>
      <c r="H75" s="66">
        <f t="shared" si="7"/>
        <v>29.4</v>
      </c>
      <c r="I75" s="4" t="s">
        <v>102</v>
      </c>
      <c r="J75" s="77" t="s">
        <v>207</v>
      </c>
      <c r="L75" s="4">
        <v>1</v>
      </c>
      <c r="AP75" s="6"/>
      <c r="AR75" s="4">
        <f t="shared" si="8"/>
        <v>0</v>
      </c>
      <c r="AS75" s="4">
        <f t="shared" si="9"/>
        <v>1</v>
      </c>
      <c r="AT75" s="32">
        <f t="shared" si="10"/>
        <v>29.4</v>
      </c>
    </row>
    <row r="76" s="9" customFormat="1" customHeight="1" spans="1:63">
      <c r="A76" s="4">
        <v>75</v>
      </c>
      <c r="B76" s="4" t="s">
        <v>208</v>
      </c>
      <c r="C76" s="5">
        <v>18371188068</v>
      </c>
      <c r="D76" s="65">
        <v>46048</v>
      </c>
      <c r="E76" s="65">
        <v>46168</v>
      </c>
      <c r="F76" s="4">
        <v>788</v>
      </c>
      <c r="G76" s="4">
        <v>30</v>
      </c>
      <c r="H76" s="66">
        <f t="shared" si="7"/>
        <v>26.2666666666667</v>
      </c>
      <c r="I76" s="56" t="s">
        <v>134</v>
      </c>
      <c r="J76" s="1" t="s">
        <v>209</v>
      </c>
      <c r="K76" s="56" t="s">
        <v>210</v>
      </c>
      <c r="L76" s="75">
        <v>1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26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6"/>
      <c r="AQ76" s="4"/>
      <c r="AR76" s="4">
        <f t="shared" si="8"/>
        <v>0</v>
      </c>
      <c r="AS76" s="4">
        <f t="shared" si="9"/>
        <v>1</v>
      </c>
      <c r="AT76" s="32">
        <f t="shared" si="10"/>
        <v>26.2666666666667</v>
      </c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</row>
    <row r="77" s="9" customFormat="1" customHeight="1" spans="1:63">
      <c r="A77" s="4">
        <v>76</v>
      </c>
      <c r="B77" s="9" t="s">
        <v>211</v>
      </c>
      <c r="C77" s="10">
        <v>17396174810</v>
      </c>
      <c r="D77" s="71">
        <v>46085</v>
      </c>
      <c r="E77" s="71">
        <v>46185</v>
      </c>
      <c r="F77" s="9">
        <v>738</v>
      </c>
      <c r="G77" s="9">
        <v>30</v>
      </c>
      <c r="H77" s="72">
        <f t="shared" si="7"/>
        <v>24.6</v>
      </c>
      <c r="I77" s="78">
        <v>738.3</v>
      </c>
      <c r="J77" s="79" t="s">
        <v>212</v>
      </c>
      <c r="K77" s="9"/>
      <c r="L77" s="9">
        <v>1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>
        <v>1</v>
      </c>
      <c r="X77" s="4"/>
      <c r="Y77" s="4"/>
      <c r="Z77" s="4"/>
      <c r="AA77" s="26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5"/>
      <c r="AQ77" s="4"/>
      <c r="AR77" s="9">
        <f t="shared" si="8"/>
        <v>1</v>
      </c>
      <c r="AS77" s="9">
        <f t="shared" si="9"/>
        <v>0</v>
      </c>
      <c r="AT77" s="51">
        <f t="shared" si="10"/>
        <v>0</v>
      </c>
    </row>
    <row r="78" s="4" customFormat="1" customHeight="1" spans="1:63">
      <c r="A78" s="4">
        <v>77</v>
      </c>
      <c r="B78" s="4" t="s">
        <v>213</v>
      </c>
      <c r="C78" s="5">
        <v>19562109558</v>
      </c>
      <c r="D78" s="65">
        <v>46113</v>
      </c>
      <c r="E78" s="65">
        <v>46212</v>
      </c>
      <c r="F78" s="4">
        <v>738</v>
      </c>
      <c r="G78" s="4">
        <v>30</v>
      </c>
      <c r="H78" s="66">
        <f t="shared" si="7"/>
        <v>24.6</v>
      </c>
      <c r="I78" s="74">
        <v>738.3</v>
      </c>
      <c r="J78" s="77" t="s">
        <v>214</v>
      </c>
      <c r="K78" s="77" t="s">
        <v>215</v>
      </c>
      <c r="L78" s="4">
        <v>15</v>
      </c>
      <c r="M78" s="4"/>
      <c r="N78" s="4"/>
      <c r="O78" s="4"/>
      <c r="P78" s="4"/>
      <c r="Q78" s="4"/>
      <c r="R78" s="4">
        <v>2</v>
      </c>
      <c r="S78" s="4">
        <v>1</v>
      </c>
      <c r="T78" s="4"/>
      <c r="U78" s="4">
        <v>1</v>
      </c>
      <c r="W78" s="4">
        <v>1</v>
      </c>
      <c r="X78" s="4">
        <v>2</v>
      </c>
      <c r="Y78" s="4">
        <v>1</v>
      </c>
      <c r="Z78" s="4"/>
      <c r="AA78" s="26"/>
      <c r="AB78" s="4"/>
      <c r="AC78" s="4"/>
      <c r="AP78" s="6"/>
      <c r="AR78" s="4">
        <f t="shared" si="8"/>
        <v>8</v>
      </c>
      <c r="AS78" s="4">
        <f t="shared" si="9"/>
        <v>7</v>
      </c>
      <c r="AT78" s="32">
        <f t="shared" si="10"/>
        <v>172.2</v>
      </c>
    </row>
    <row r="79" s="4" customFormat="1" customHeight="1" spans="1:63">
      <c r="A79" s="4">
        <v>78</v>
      </c>
      <c r="B79" s="4" t="s">
        <v>216</v>
      </c>
      <c r="C79" s="5">
        <v>18071259271</v>
      </c>
      <c r="D79" s="65">
        <v>46085</v>
      </c>
      <c r="E79" s="65">
        <v>46185</v>
      </c>
      <c r="F79" s="4">
        <v>538</v>
      </c>
      <c r="G79" s="4">
        <v>20</v>
      </c>
      <c r="H79" s="66">
        <f t="shared" si="7"/>
        <v>26.9</v>
      </c>
      <c r="I79" s="4" t="s">
        <v>217</v>
      </c>
      <c r="J79" s="4"/>
      <c r="K79" s="4" t="s">
        <v>218</v>
      </c>
      <c r="L79" s="4">
        <v>6</v>
      </c>
      <c r="S79" s="4">
        <v>1</v>
      </c>
      <c r="U79" s="4">
        <v>1</v>
      </c>
      <c r="X79" s="4">
        <v>1</v>
      </c>
      <c r="Y79" s="4">
        <v>1</v>
      </c>
      <c r="Z79" s="4"/>
      <c r="AA79" s="26"/>
      <c r="AB79" s="4"/>
      <c r="AC79" s="4"/>
      <c r="AP79" s="6"/>
      <c r="AR79" s="4">
        <f t="shared" si="8"/>
        <v>4</v>
      </c>
      <c r="AS79" s="4">
        <f t="shared" si="9"/>
        <v>2</v>
      </c>
      <c r="AT79" s="32">
        <f t="shared" si="10"/>
        <v>53.8</v>
      </c>
    </row>
    <row r="80" s="4" customFormat="1" customHeight="1" spans="1:63">
      <c r="A80" s="4">
        <v>79</v>
      </c>
      <c r="B80" s="4" t="s">
        <v>219</v>
      </c>
      <c r="C80" s="5">
        <v>13407112269</v>
      </c>
      <c r="D80" s="65">
        <v>46085</v>
      </c>
      <c r="E80" s="65">
        <v>46277</v>
      </c>
      <c r="F80" s="4">
        <v>1999</v>
      </c>
      <c r="G80" s="4">
        <v>90</v>
      </c>
      <c r="H80" s="66">
        <f t="shared" si="7"/>
        <v>22.2111111111111</v>
      </c>
      <c r="I80" s="4" t="s">
        <v>113</v>
      </c>
      <c r="J80" s="4" t="s">
        <v>220</v>
      </c>
      <c r="L80" s="4">
        <v>46</v>
      </c>
      <c r="R80" s="4">
        <v>2</v>
      </c>
      <c r="S80" s="4"/>
      <c r="T80" s="4">
        <v>1</v>
      </c>
      <c r="U80" s="4">
        <v>1</v>
      </c>
      <c r="W80" s="4">
        <v>2</v>
      </c>
      <c r="X80" s="4">
        <v>2</v>
      </c>
      <c r="Y80" s="4">
        <v>1</v>
      </c>
      <c r="Z80" s="4"/>
      <c r="AA80" s="26"/>
      <c r="AB80" s="4"/>
      <c r="AC80" s="4"/>
      <c r="AP80" s="6"/>
      <c r="AR80" s="4">
        <f t="shared" si="8"/>
        <v>9</v>
      </c>
      <c r="AS80" s="4">
        <f t="shared" si="9"/>
        <v>37</v>
      </c>
      <c r="AT80" s="32">
        <f t="shared" si="10"/>
        <v>821.811111111111</v>
      </c>
    </row>
    <row r="81" s="4" customFormat="1" customHeight="1" spans="1:46">
      <c r="A81" s="4">
        <v>80</v>
      </c>
      <c r="B81" s="4" t="s">
        <v>221</v>
      </c>
      <c r="C81" s="5">
        <v>18608610735</v>
      </c>
      <c r="D81" s="65">
        <v>46085</v>
      </c>
      <c r="E81" s="65">
        <v>46185</v>
      </c>
      <c r="F81" s="4">
        <v>768</v>
      </c>
      <c r="G81" s="4">
        <v>30</v>
      </c>
      <c r="H81" s="66">
        <f t="shared" si="7"/>
        <v>25.6</v>
      </c>
      <c r="I81" s="4" t="s">
        <v>222</v>
      </c>
      <c r="J81" s="4" t="s">
        <v>223</v>
      </c>
      <c r="L81" s="4">
        <v>8</v>
      </c>
      <c r="S81" s="4">
        <v>1</v>
      </c>
      <c r="U81" s="4">
        <v>1</v>
      </c>
      <c r="W81" s="4">
        <v>1</v>
      </c>
      <c r="X81" s="4"/>
      <c r="Y81" s="4"/>
      <c r="Z81" s="4"/>
      <c r="AA81" s="26"/>
      <c r="AB81" s="4"/>
      <c r="AC81" s="4"/>
      <c r="AP81" s="6"/>
      <c r="AR81" s="4">
        <f t="shared" si="8"/>
        <v>3</v>
      </c>
      <c r="AS81" s="4">
        <f t="shared" si="9"/>
        <v>5</v>
      </c>
      <c r="AT81" s="32">
        <f t="shared" si="10"/>
        <v>128</v>
      </c>
    </row>
    <row r="82" s="4" customFormat="1" customHeight="1" spans="1:46">
      <c r="A82" s="4">
        <v>81</v>
      </c>
      <c r="B82" s="4" t="s">
        <v>224</v>
      </c>
      <c r="C82" s="5">
        <v>18272021502</v>
      </c>
      <c r="D82" s="65">
        <v>46116</v>
      </c>
      <c r="E82" s="65">
        <v>46185</v>
      </c>
      <c r="F82" s="4">
        <v>299</v>
      </c>
      <c r="G82" s="4">
        <v>11</v>
      </c>
      <c r="H82" s="66">
        <f t="shared" si="7"/>
        <v>27.1818181818182</v>
      </c>
      <c r="I82" s="4" t="s">
        <v>225</v>
      </c>
      <c r="J82" s="4" t="s">
        <v>214</v>
      </c>
      <c r="L82" s="4">
        <v>9</v>
      </c>
      <c r="R82" s="4">
        <v>2</v>
      </c>
      <c r="T82" s="4">
        <v>1</v>
      </c>
      <c r="U82" s="4">
        <v>1</v>
      </c>
      <c r="Y82" s="4">
        <v>1</v>
      </c>
      <c r="Z82" s="4">
        <v>1</v>
      </c>
      <c r="AA82" s="26"/>
      <c r="AB82" s="4"/>
      <c r="AC82" s="4"/>
      <c r="AP82" s="6"/>
      <c r="AR82" s="4">
        <f t="shared" si="8"/>
        <v>6</v>
      </c>
      <c r="AS82" s="4">
        <f t="shared" si="9"/>
        <v>3</v>
      </c>
      <c r="AT82" s="32">
        <f t="shared" si="10"/>
        <v>81.5454545454546</v>
      </c>
    </row>
    <row r="83" s="4" customFormat="1" customHeight="1" spans="1:46">
      <c r="A83" s="4">
        <v>82</v>
      </c>
      <c r="B83" s="4" t="s">
        <v>226</v>
      </c>
      <c r="C83" s="5">
        <v>15327206376</v>
      </c>
      <c r="D83" s="65">
        <v>46085</v>
      </c>
      <c r="E83" s="65">
        <v>46185</v>
      </c>
      <c r="F83" s="4">
        <v>738</v>
      </c>
      <c r="G83" s="4">
        <v>30</v>
      </c>
      <c r="H83" s="66">
        <f t="shared" si="7"/>
        <v>24.6</v>
      </c>
      <c r="I83" s="74">
        <v>738.3</v>
      </c>
      <c r="J83" s="56" t="s">
        <v>212</v>
      </c>
      <c r="L83" s="4">
        <v>7</v>
      </c>
      <c r="W83" s="4">
        <v>1</v>
      </c>
      <c r="X83" s="4">
        <v>1</v>
      </c>
      <c r="Y83" s="4">
        <v>1</v>
      </c>
      <c r="Z83" s="4">
        <v>1</v>
      </c>
      <c r="AA83" s="26"/>
      <c r="AB83" s="4"/>
      <c r="AC83" s="4"/>
      <c r="AP83" s="6"/>
      <c r="AR83" s="4">
        <f t="shared" si="8"/>
        <v>4</v>
      </c>
      <c r="AS83" s="4">
        <f t="shared" si="9"/>
        <v>3</v>
      </c>
      <c r="AT83" s="32">
        <f t="shared" si="10"/>
        <v>73.8</v>
      </c>
    </row>
    <row r="84" s="4" customFormat="1" customHeight="1" spans="1:46">
      <c r="A84" s="4">
        <v>83</v>
      </c>
      <c r="B84" s="6" t="s">
        <v>227</v>
      </c>
      <c r="C84" s="5">
        <v>18956318176</v>
      </c>
      <c r="D84" s="65">
        <v>46085</v>
      </c>
      <c r="E84" s="65">
        <v>46185</v>
      </c>
      <c r="F84" s="4">
        <v>738</v>
      </c>
      <c r="G84" s="4">
        <v>30</v>
      </c>
      <c r="H84" s="66">
        <f t="shared" si="7"/>
        <v>24.6</v>
      </c>
      <c r="I84" s="74">
        <v>738.3</v>
      </c>
      <c r="J84" s="4" t="s">
        <v>228</v>
      </c>
      <c r="K84" s="77" t="s">
        <v>212</v>
      </c>
      <c r="L84" s="4">
        <v>7</v>
      </c>
      <c r="R84" s="4">
        <v>1</v>
      </c>
      <c r="S84" s="4">
        <v>1</v>
      </c>
      <c r="W84" s="4">
        <v>2</v>
      </c>
      <c r="X84" s="4"/>
      <c r="Y84" s="4"/>
      <c r="Z84" s="4"/>
      <c r="AA84" s="26"/>
      <c r="AB84" s="4"/>
      <c r="AC84" s="4"/>
      <c r="AP84" s="5"/>
      <c r="AQ84" s="4"/>
      <c r="AR84" s="4">
        <f t="shared" si="8"/>
        <v>4</v>
      </c>
      <c r="AS84" s="4">
        <f t="shared" si="9"/>
        <v>3</v>
      </c>
      <c r="AT84" s="32">
        <f t="shared" si="10"/>
        <v>73.8</v>
      </c>
    </row>
    <row r="85" s="4" customFormat="1" customHeight="1" spans="1:46">
      <c r="A85" s="4">
        <v>84</v>
      </c>
      <c r="B85" s="4" t="s">
        <v>229</v>
      </c>
      <c r="C85" s="5">
        <v>15165286662</v>
      </c>
      <c r="D85" s="65">
        <v>46086</v>
      </c>
      <c r="E85" s="65">
        <v>46186</v>
      </c>
      <c r="F85" s="4">
        <v>588</v>
      </c>
      <c r="G85" s="4">
        <v>20</v>
      </c>
      <c r="H85" s="66">
        <f t="shared" si="7"/>
        <v>29.4</v>
      </c>
      <c r="I85" s="4" t="s">
        <v>102</v>
      </c>
      <c r="J85" s="4" t="s">
        <v>230</v>
      </c>
      <c r="K85" s="4"/>
      <c r="L85" s="4">
        <v>10</v>
      </c>
      <c r="M85" s="4"/>
      <c r="N85" s="4"/>
      <c r="O85" s="4"/>
      <c r="P85" s="4"/>
      <c r="Q85" s="4"/>
      <c r="R85" s="4"/>
      <c r="S85" s="4"/>
      <c r="T85" s="4"/>
      <c r="U85" s="4"/>
      <c r="Y85" s="4">
        <v>1</v>
      </c>
      <c r="Z85" s="4"/>
      <c r="AA85" s="26"/>
      <c r="AB85" s="4"/>
      <c r="AC85" s="4"/>
      <c r="AP85" s="6"/>
      <c r="AQ85" s="4"/>
      <c r="AR85" s="4">
        <f t="shared" si="8"/>
        <v>1</v>
      </c>
      <c r="AS85" s="4">
        <f t="shared" si="9"/>
        <v>9</v>
      </c>
      <c r="AT85" s="32">
        <f t="shared" si="10"/>
        <v>264.6</v>
      </c>
    </row>
    <row r="86" s="4" customFormat="1" customHeight="1" spans="1:46">
      <c r="A86" s="4">
        <v>85</v>
      </c>
      <c r="B86" s="4" t="s">
        <v>231</v>
      </c>
      <c r="C86" s="5">
        <v>19242718051</v>
      </c>
      <c r="D86" s="65">
        <v>46086</v>
      </c>
      <c r="E86" s="65">
        <v>46186</v>
      </c>
      <c r="F86" s="4">
        <v>738</v>
      </c>
      <c r="G86" s="4">
        <v>30</v>
      </c>
      <c r="H86" s="66">
        <f t="shared" si="7"/>
        <v>24.6</v>
      </c>
      <c r="I86" s="4" t="s">
        <v>232</v>
      </c>
      <c r="J86" s="56" t="s">
        <v>233</v>
      </c>
      <c r="L86" s="75">
        <v>5</v>
      </c>
      <c r="W86" s="4">
        <v>1</v>
      </c>
      <c r="X86" s="4"/>
      <c r="Y86" s="4"/>
      <c r="Z86" s="4"/>
      <c r="AA86" s="26"/>
      <c r="AB86" s="4"/>
      <c r="AC86" s="4"/>
      <c r="AP86" s="6"/>
      <c r="AR86" s="4">
        <f t="shared" si="8"/>
        <v>1</v>
      </c>
      <c r="AS86" s="4">
        <f t="shared" si="9"/>
        <v>4</v>
      </c>
      <c r="AT86" s="32">
        <f t="shared" si="10"/>
        <v>98.4</v>
      </c>
    </row>
    <row r="87" customHeight="1" spans="1:46">
      <c r="A87" s="4">
        <v>86</v>
      </c>
      <c r="B87" s="4" t="s">
        <v>234</v>
      </c>
      <c r="C87" s="5">
        <v>15071302587</v>
      </c>
      <c r="D87" s="65">
        <v>46086</v>
      </c>
      <c r="E87" s="65">
        <v>46186</v>
      </c>
      <c r="F87" s="4">
        <v>500</v>
      </c>
      <c r="G87" s="4">
        <v>20</v>
      </c>
      <c r="H87" s="66">
        <f t="shared" si="7"/>
        <v>25</v>
      </c>
      <c r="I87" s="4" t="s">
        <v>235</v>
      </c>
      <c r="K87" s="4" t="s">
        <v>236</v>
      </c>
      <c r="L87" s="75">
        <v>6</v>
      </c>
      <c r="R87" s="4">
        <v>1</v>
      </c>
      <c r="S87" s="4">
        <v>1</v>
      </c>
      <c r="W87" s="4">
        <v>1</v>
      </c>
      <c r="AA87" s="26">
        <v>1</v>
      </c>
      <c r="AP87" s="6"/>
      <c r="AR87" s="4">
        <f t="shared" si="8"/>
        <v>4</v>
      </c>
      <c r="AS87" s="4">
        <f t="shared" si="9"/>
        <v>2</v>
      </c>
      <c r="AT87" s="32">
        <f t="shared" si="10"/>
        <v>50</v>
      </c>
    </row>
    <row r="88" customHeight="1" spans="1:46">
      <c r="A88" s="4">
        <v>87</v>
      </c>
      <c r="B88" s="4" t="s">
        <v>237</v>
      </c>
      <c r="C88" s="5">
        <v>17871396869</v>
      </c>
      <c r="D88" s="65">
        <v>46086</v>
      </c>
      <c r="E88" s="65">
        <v>46186</v>
      </c>
      <c r="F88" s="4">
        <v>738</v>
      </c>
      <c r="G88" s="4">
        <v>30</v>
      </c>
      <c r="H88" s="66">
        <f t="shared" si="7"/>
        <v>24.6</v>
      </c>
      <c r="I88" s="4" t="s">
        <v>232</v>
      </c>
      <c r="J88" s="56" t="s">
        <v>233</v>
      </c>
      <c r="L88" s="75">
        <v>21</v>
      </c>
      <c r="AP88" s="6"/>
      <c r="AR88" s="4">
        <f t="shared" si="8"/>
        <v>0</v>
      </c>
      <c r="AS88" s="4">
        <f t="shared" si="9"/>
        <v>21</v>
      </c>
      <c r="AT88" s="32">
        <f t="shared" si="10"/>
        <v>516.6</v>
      </c>
    </row>
    <row r="89" customHeight="1" spans="1:46">
      <c r="A89" s="4">
        <v>88</v>
      </c>
      <c r="B89" s="4" t="s">
        <v>238</v>
      </c>
      <c r="C89" s="5">
        <v>1816601892</v>
      </c>
      <c r="D89" s="65">
        <v>46085</v>
      </c>
      <c r="E89" s="65">
        <v>46185</v>
      </c>
      <c r="F89" s="4">
        <v>299</v>
      </c>
      <c r="G89" s="4">
        <v>11</v>
      </c>
      <c r="H89" s="66">
        <f t="shared" si="7"/>
        <v>27.1818181818182</v>
      </c>
      <c r="I89" s="4" t="s">
        <v>225</v>
      </c>
      <c r="J89" s="1" t="s">
        <v>214</v>
      </c>
      <c r="L89" s="75">
        <v>2</v>
      </c>
      <c r="AP89" s="6"/>
      <c r="AR89" s="4">
        <f t="shared" si="8"/>
        <v>0</v>
      </c>
      <c r="AS89" s="4">
        <f t="shared" si="9"/>
        <v>2</v>
      </c>
      <c r="AT89" s="32">
        <f t="shared" si="10"/>
        <v>54.3636363636364</v>
      </c>
    </row>
    <row r="90" customHeight="1" spans="1:46">
      <c r="A90" s="4">
        <v>89</v>
      </c>
      <c r="B90" s="4" t="s">
        <v>239</v>
      </c>
      <c r="C90" s="5">
        <v>13308357949</v>
      </c>
      <c r="D90" s="65">
        <v>46088</v>
      </c>
      <c r="E90" s="65">
        <v>46188</v>
      </c>
      <c r="F90" s="4">
        <v>488</v>
      </c>
      <c r="G90" s="4">
        <v>20</v>
      </c>
      <c r="H90" s="66">
        <f t="shared" si="7"/>
        <v>24.4</v>
      </c>
      <c r="I90" s="4" t="s">
        <v>240</v>
      </c>
      <c r="J90" s="1" t="s">
        <v>241</v>
      </c>
      <c r="L90" s="75">
        <v>4</v>
      </c>
      <c r="W90" s="4">
        <v>1</v>
      </c>
      <c r="AP90" s="6"/>
      <c r="AR90" s="4">
        <f t="shared" si="8"/>
        <v>1</v>
      </c>
      <c r="AS90" s="4">
        <f t="shared" si="9"/>
        <v>3</v>
      </c>
      <c r="AT90" s="32">
        <f t="shared" si="10"/>
        <v>73.2</v>
      </c>
    </row>
    <row r="91" customHeight="1" spans="1:46">
      <c r="A91" s="4">
        <v>90</v>
      </c>
      <c r="B91" s="4" t="s">
        <v>242</v>
      </c>
      <c r="C91" s="5">
        <v>13986076673</v>
      </c>
      <c r="D91" s="65">
        <v>46088</v>
      </c>
      <c r="E91" s="65">
        <v>46188</v>
      </c>
      <c r="F91" s="4">
        <v>488</v>
      </c>
      <c r="G91" s="4">
        <v>20</v>
      </c>
      <c r="H91" s="66">
        <f t="shared" si="7"/>
        <v>24.4</v>
      </c>
      <c r="I91" s="4" t="s">
        <v>240</v>
      </c>
      <c r="J91" s="1" t="s">
        <v>241</v>
      </c>
      <c r="L91" s="75">
        <v>11</v>
      </c>
      <c r="AP91" s="6"/>
      <c r="AR91" s="4">
        <f t="shared" si="8"/>
        <v>0</v>
      </c>
      <c r="AS91" s="4">
        <f t="shared" si="9"/>
        <v>11</v>
      </c>
      <c r="AT91" s="32">
        <f t="shared" si="10"/>
        <v>268.4</v>
      </c>
    </row>
    <row r="92" customHeight="1" spans="1:46">
      <c r="A92" s="4">
        <v>91</v>
      </c>
      <c r="B92" s="4" t="s">
        <v>243</v>
      </c>
      <c r="C92" s="5">
        <v>17364537267</v>
      </c>
      <c r="D92" s="65">
        <v>46090</v>
      </c>
      <c r="E92" s="65">
        <v>46190</v>
      </c>
      <c r="F92" s="4">
        <v>788</v>
      </c>
      <c r="G92" s="4">
        <v>30</v>
      </c>
      <c r="H92" s="66">
        <f t="shared" si="7"/>
        <v>26.2666666666667</v>
      </c>
      <c r="I92" s="4" t="s">
        <v>134</v>
      </c>
      <c r="J92" s="56" t="s">
        <v>244</v>
      </c>
      <c r="L92" s="75">
        <v>24</v>
      </c>
      <c r="AP92" s="6"/>
      <c r="AR92" s="4">
        <f t="shared" si="8"/>
        <v>0</v>
      </c>
      <c r="AS92" s="4">
        <f t="shared" si="9"/>
        <v>24</v>
      </c>
      <c r="AT92" s="32">
        <f t="shared" si="10"/>
        <v>630.400000000001</v>
      </c>
    </row>
    <row r="93" customHeight="1" spans="1:46">
      <c r="A93" s="4">
        <v>92</v>
      </c>
      <c r="B93" s="4" t="s">
        <v>245</v>
      </c>
      <c r="C93" s="5">
        <v>15172739217</v>
      </c>
      <c r="D93" s="65">
        <v>46090</v>
      </c>
      <c r="E93" s="65">
        <v>46190</v>
      </c>
      <c r="F93" s="4">
        <v>588</v>
      </c>
      <c r="G93" s="4">
        <v>20</v>
      </c>
      <c r="H93" s="66">
        <f t="shared" si="7"/>
        <v>29.4</v>
      </c>
      <c r="I93" s="4" t="s">
        <v>160</v>
      </c>
      <c r="J93" s="56" t="s">
        <v>246</v>
      </c>
      <c r="L93" s="75">
        <v>2</v>
      </c>
      <c r="AP93" s="6"/>
      <c r="AR93" s="4">
        <f t="shared" si="8"/>
        <v>0</v>
      </c>
      <c r="AS93" s="4">
        <f t="shared" si="9"/>
        <v>2</v>
      </c>
      <c r="AT93" s="32">
        <f t="shared" si="10"/>
        <v>58.8</v>
      </c>
    </row>
    <row r="94" s="11" customFormat="1" customHeight="1" spans="1:46">
      <c r="A94" s="4">
        <v>93</v>
      </c>
      <c r="B94" s="11" t="s">
        <v>247</v>
      </c>
      <c r="C94" s="12">
        <v>18235591616</v>
      </c>
      <c r="D94" s="67">
        <v>46092</v>
      </c>
      <c r="E94" s="67">
        <v>46181</v>
      </c>
      <c r="F94" s="11">
        <v>299</v>
      </c>
      <c r="G94" s="11">
        <v>9</v>
      </c>
      <c r="H94" s="68">
        <f t="shared" si="7"/>
        <v>33.2222222222222</v>
      </c>
      <c r="I94" s="6" t="s">
        <v>139</v>
      </c>
      <c r="J94" s="80" t="s">
        <v>248</v>
      </c>
      <c r="K94" s="11"/>
      <c r="L94" s="11">
        <v>4</v>
      </c>
      <c r="M94" s="11"/>
      <c r="N94" s="11"/>
      <c r="O94" s="11"/>
      <c r="P94" s="11"/>
      <c r="Q94" s="11"/>
      <c r="R94" s="11"/>
      <c r="S94" s="11"/>
      <c r="T94" s="11"/>
      <c r="U94" s="4"/>
      <c r="V94" s="4"/>
      <c r="W94" s="4"/>
      <c r="X94" s="11"/>
      <c r="Y94" s="4"/>
      <c r="Z94" s="4"/>
      <c r="AA94" s="26"/>
      <c r="AB94" s="4"/>
      <c r="AC94" s="4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6"/>
      <c r="AQ94" s="11"/>
      <c r="AR94" s="11">
        <f t="shared" si="8"/>
        <v>0</v>
      </c>
      <c r="AS94" s="11">
        <f t="shared" si="9"/>
        <v>4</v>
      </c>
      <c r="AT94" s="81">
        <f t="shared" si="10"/>
        <v>132.888888888889</v>
      </c>
    </row>
    <row r="95" customHeight="1" spans="1:46">
      <c r="A95" s="4">
        <v>94</v>
      </c>
      <c r="B95" s="4" t="s">
        <v>249</v>
      </c>
      <c r="C95" s="5">
        <v>15971393557</v>
      </c>
      <c r="D95" s="67">
        <v>46093</v>
      </c>
      <c r="E95" s="65">
        <v>46193</v>
      </c>
      <c r="F95" s="4">
        <v>788</v>
      </c>
      <c r="G95" s="4">
        <v>30</v>
      </c>
      <c r="H95" s="66">
        <f t="shared" si="7"/>
        <v>26.2666666666667</v>
      </c>
      <c r="I95" s="4" t="s">
        <v>134</v>
      </c>
      <c r="J95" s="6" t="s">
        <v>250</v>
      </c>
      <c r="L95" s="75">
        <v>15</v>
      </c>
      <c r="AP95" s="6"/>
      <c r="AR95" s="4">
        <f t="shared" si="8"/>
        <v>0</v>
      </c>
      <c r="AS95" s="4">
        <f t="shared" si="9"/>
        <v>15</v>
      </c>
      <c r="AT95" s="32">
        <f t="shared" si="10"/>
        <v>394.000000000001</v>
      </c>
    </row>
    <row r="96" s="4" customFormat="1" customHeight="1" spans="1:46">
      <c r="A96" s="4">
        <v>95</v>
      </c>
      <c r="B96" s="4" t="s">
        <v>251</v>
      </c>
      <c r="C96" s="5">
        <v>13026322185</v>
      </c>
      <c r="D96" s="65">
        <v>46177</v>
      </c>
      <c r="E96" s="65">
        <v>46358</v>
      </c>
      <c r="F96" s="4">
        <v>1999</v>
      </c>
      <c r="G96" s="4">
        <v>90</v>
      </c>
      <c r="H96" s="66">
        <f t="shared" ref="H96:H130" si="11">F96/G96</f>
        <v>22.2111111111111</v>
      </c>
      <c r="I96" s="6" t="s">
        <v>113</v>
      </c>
      <c r="J96" s="4" t="s">
        <v>252</v>
      </c>
      <c r="K96" s="6" t="s">
        <v>253</v>
      </c>
      <c r="L96" s="4">
        <v>65</v>
      </c>
      <c r="R96" s="4">
        <v>1</v>
      </c>
      <c r="S96" s="4">
        <v>1</v>
      </c>
      <c r="T96" s="4">
        <v>1</v>
      </c>
      <c r="U96" s="4">
        <v>1</v>
      </c>
      <c r="W96" s="4">
        <v>1</v>
      </c>
      <c r="X96" s="4">
        <v>1</v>
      </c>
      <c r="Y96" s="4">
        <v>1</v>
      </c>
      <c r="Z96" s="4">
        <v>1</v>
      </c>
      <c r="AA96" s="26">
        <v>1</v>
      </c>
      <c r="AB96" s="4"/>
      <c r="AC96" s="4"/>
      <c r="AP96" s="5"/>
      <c r="AR96" s="4">
        <f t="shared" si="8"/>
        <v>9</v>
      </c>
      <c r="AS96" s="4">
        <f t="shared" si="9"/>
        <v>56</v>
      </c>
      <c r="AT96" s="32">
        <f t="shared" si="10"/>
        <v>1243.82222222222</v>
      </c>
    </row>
    <row r="97" s="11" customFormat="1" customHeight="1" spans="1:63">
      <c r="A97" s="4">
        <v>96</v>
      </c>
      <c r="B97" s="11" t="s">
        <v>254</v>
      </c>
      <c r="C97" s="12">
        <v>18909505225</v>
      </c>
      <c r="D97" s="82">
        <v>45729</v>
      </c>
      <c r="E97" s="67">
        <v>46094</v>
      </c>
      <c r="F97" s="11">
        <v>788</v>
      </c>
      <c r="G97" s="11">
        <v>30</v>
      </c>
      <c r="H97" s="68">
        <f t="shared" si="11"/>
        <v>26.2666666666667</v>
      </c>
      <c r="I97" s="6" t="s">
        <v>134</v>
      </c>
      <c r="J97" s="6" t="s">
        <v>255</v>
      </c>
      <c r="K97" s="11"/>
      <c r="L97" s="83">
        <v>22</v>
      </c>
      <c r="M97" s="11"/>
      <c r="N97" s="11"/>
      <c r="O97" s="11"/>
      <c r="P97" s="11"/>
      <c r="Q97" s="11"/>
      <c r="R97" s="11"/>
      <c r="S97" s="11"/>
      <c r="T97" s="11"/>
      <c r="U97" s="4"/>
      <c r="V97" s="4"/>
      <c r="W97" s="4"/>
      <c r="X97" s="11"/>
      <c r="Y97" s="4"/>
      <c r="Z97" s="4"/>
      <c r="AA97" s="26"/>
      <c r="AB97" s="4"/>
      <c r="AC97" s="4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6"/>
      <c r="AQ97" s="11"/>
      <c r="AR97" s="4">
        <f t="shared" si="8"/>
        <v>0</v>
      </c>
      <c r="AS97" s="4">
        <f t="shared" si="9"/>
        <v>22</v>
      </c>
      <c r="AT97" s="32">
        <f t="shared" si="10"/>
        <v>577.866666666667</v>
      </c>
    </row>
    <row r="98" customHeight="1" spans="1:63">
      <c r="A98" s="4">
        <v>97</v>
      </c>
      <c r="B98" s="4" t="s">
        <v>256</v>
      </c>
      <c r="C98" s="5">
        <v>15327832941</v>
      </c>
      <c r="D98" s="82">
        <v>45732</v>
      </c>
      <c r="E98" s="67">
        <v>46142</v>
      </c>
      <c r="F98" s="11">
        <v>299</v>
      </c>
      <c r="G98" s="11">
        <v>9</v>
      </c>
      <c r="H98" s="68">
        <f t="shared" si="11"/>
        <v>33.2222222222222</v>
      </c>
      <c r="I98" s="6" t="s">
        <v>139</v>
      </c>
      <c r="J98" s="6" t="s">
        <v>257</v>
      </c>
      <c r="L98" s="75">
        <v>5</v>
      </c>
      <c r="AP98" s="6"/>
      <c r="AR98" s="4">
        <f t="shared" si="8"/>
        <v>0</v>
      </c>
      <c r="AS98" s="4">
        <f t="shared" si="9"/>
        <v>5</v>
      </c>
      <c r="AT98" s="32">
        <f t="shared" si="10"/>
        <v>166.111111111111</v>
      </c>
    </row>
    <row r="99" customHeight="1" spans="1:63">
      <c r="A99" s="4">
        <v>98</v>
      </c>
      <c r="B99" s="9" t="s">
        <v>258</v>
      </c>
      <c r="C99" s="10">
        <v>18238245985</v>
      </c>
      <c r="D99" s="84">
        <v>45754</v>
      </c>
      <c r="E99" s="71">
        <v>46149</v>
      </c>
      <c r="F99" s="9">
        <v>488</v>
      </c>
      <c r="G99" s="9">
        <v>20</v>
      </c>
      <c r="H99" s="72">
        <f t="shared" si="11"/>
        <v>24.4</v>
      </c>
      <c r="I99" s="73" t="s">
        <v>240</v>
      </c>
      <c r="J99" s="73" t="s">
        <v>259</v>
      </c>
      <c r="K99" s="9"/>
      <c r="L99" s="85">
        <v>1</v>
      </c>
      <c r="M99" s="9"/>
      <c r="N99" s="9"/>
      <c r="O99" s="9"/>
      <c r="P99" s="9"/>
      <c r="Q99" s="9"/>
      <c r="R99" s="9"/>
      <c r="S99" s="9">
        <v>1</v>
      </c>
      <c r="T99" s="9"/>
      <c r="U99" s="9"/>
      <c r="V99" s="9"/>
      <c r="W99" s="9"/>
      <c r="X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73"/>
      <c r="AQ99" s="9"/>
      <c r="AR99" s="9">
        <f t="shared" si="8"/>
        <v>1</v>
      </c>
      <c r="AS99" s="9">
        <f t="shared" si="9"/>
        <v>0</v>
      </c>
      <c r="AT99" s="51">
        <f t="shared" si="10"/>
        <v>0</v>
      </c>
      <c r="AU99" s="9">
        <v>244</v>
      </c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</row>
    <row r="100" s="11" customFormat="1" customHeight="1" spans="1:63">
      <c r="A100" s="4">
        <v>99</v>
      </c>
      <c r="B100" s="11" t="s">
        <v>260</v>
      </c>
      <c r="C100" s="12">
        <v>13871366894</v>
      </c>
      <c r="D100" s="82">
        <v>45731</v>
      </c>
      <c r="E100" s="67">
        <v>46188</v>
      </c>
      <c r="F100" s="11">
        <v>788</v>
      </c>
      <c r="G100" s="11">
        <v>30</v>
      </c>
      <c r="H100" s="68">
        <f t="shared" si="11"/>
        <v>26.2666666666667</v>
      </c>
      <c r="I100" s="6" t="s">
        <v>134</v>
      </c>
      <c r="J100" s="11" t="s">
        <v>261</v>
      </c>
      <c r="K100" s="6" t="s">
        <v>262</v>
      </c>
      <c r="L100" s="69">
        <v>15</v>
      </c>
      <c r="M100" s="11"/>
      <c r="N100" s="11"/>
      <c r="O100" s="11"/>
      <c r="P100" s="11"/>
      <c r="Q100" s="11"/>
      <c r="R100" s="11"/>
      <c r="S100" s="11"/>
      <c r="T100" s="11"/>
      <c r="U100" s="4"/>
      <c r="V100" s="4"/>
      <c r="W100" s="4">
        <v>1</v>
      </c>
      <c r="X100" s="11"/>
      <c r="Y100" s="4"/>
      <c r="Z100" s="4"/>
      <c r="AA100" s="26">
        <v>1</v>
      </c>
      <c r="AB100" s="4"/>
      <c r="AC100" s="4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6"/>
      <c r="AQ100" s="11"/>
      <c r="AR100" s="11">
        <f t="shared" si="8"/>
        <v>2</v>
      </c>
      <c r="AS100" s="11">
        <f t="shared" si="9"/>
        <v>13</v>
      </c>
      <c r="AT100" s="81">
        <f t="shared" si="10"/>
        <v>341.466666666667</v>
      </c>
    </row>
    <row r="101" customHeight="1" spans="1:63">
      <c r="A101" s="4">
        <v>100</v>
      </c>
      <c r="B101" s="4" t="s">
        <v>263</v>
      </c>
      <c r="C101" s="5">
        <v>15671703099</v>
      </c>
      <c r="D101" s="65">
        <v>46098</v>
      </c>
      <c r="E101" s="65">
        <v>46198</v>
      </c>
      <c r="F101" s="4">
        <v>788</v>
      </c>
      <c r="G101" s="4">
        <v>30</v>
      </c>
      <c r="H101" s="66">
        <f t="shared" si="11"/>
        <v>26.2666666666667</v>
      </c>
      <c r="I101" s="6" t="s">
        <v>134</v>
      </c>
      <c r="J101" s="4" t="s">
        <v>264</v>
      </c>
      <c r="K101" s="6" t="s">
        <v>265</v>
      </c>
      <c r="L101" s="4">
        <v>26</v>
      </c>
      <c r="R101" s="4">
        <v>1</v>
      </c>
      <c r="S101" s="4">
        <v>1</v>
      </c>
      <c r="Z101" s="4">
        <v>1</v>
      </c>
      <c r="AA101" s="26">
        <v>1</v>
      </c>
      <c r="AP101" s="6"/>
      <c r="AR101" s="4">
        <f t="shared" si="8"/>
        <v>4</v>
      </c>
      <c r="AS101" s="4">
        <f t="shared" si="9"/>
        <v>22</v>
      </c>
      <c r="AT101" s="32">
        <f t="shared" si="10"/>
        <v>577.866666666667</v>
      </c>
    </row>
    <row r="102" customHeight="1" spans="1:63">
      <c r="A102" s="4">
        <v>101</v>
      </c>
      <c r="B102" s="4" t="s">
        <v>266</v>
      </c>
      <c r="C102" s="5">
        <v>13238444721</v>
      </c>
      <c r="D102" s="65">
        <v>46099</v>
      </c>
      <c r="E102" s="65">
        <v>46138</v>
      </c>
      <c r="F102" s="4">
        <v>299</v>
      </c>
      <c r="G102" s="4">
        <v>9</v>
      </c>
      <c r="H102" s="66">
        <f t="shared" si="11"/>
        <v>33.2222222222222</v>
      </c>
      <c r="I102" s="6" t="s">
        <v>267</v>
      </c>
      <c r="J102" s="6" t="s">
        <v>268</v>
      </c>
      <c r="L102" s="75">
        <v>1</v>
      </c>
      <c r="AP102" s="6"/>
      <c r="AR102" s="4">
        <f t="shared" si="8"/>
        <v>0</v>
      </c>
      <c r="AS102" s="4">
        <f t="shared" ref="AS102:AS147" si="12">L102-AR102</f>
        <v>1</v>
      </c>
      <c r="AT102" s="32">
        <f t="shared" ref="AT102:AT147" si="13">AS102*H102</f>
        <v>33.2222222222222</v>
      </c>
    </row>
    <row r="103" customHeight="1" spans="1:63">
      <c r="A103" s="4">
        <v>102</v>
      </c>
      <c r="B103" s="4" t="s">
        <v>269</v>
      </c>
      <c r="C103" s="5">
        <v>17612719729</v>
      </c>
      <c r="D103" s="65">
        <v>46099</v>
      </c>
      <c r="E103" s="65">
        <v>46199</v>
      </c>
      <c r="F103" s="4">
        <v>588</v>
      </c>
      <c r="G103" s="4">
        <v>20</v>
      </c>
      <c r="H103" s="66">
        <f t="shared" si="11"/>
        <v>29.4</v>
      </c>
      <c r="I103" s="6" t="s">
        <v>160</v>
      </c>
      <c r="J103" s="6" t="s">
        <v>270</v>
      </c>
      <c r="L103" s="75">
        <v>16</v>
      </c>
      <c r="AP103" s="6"/>
      <c r="AR103" s="4">
        <f t="shared" si="8"/>
        <v>0</v>
      </c>
      <c r="AS103" s="4">
        <f t="shared" si="12"/>
        <v>16</v>
      </c>
      <c r="AT103" s="32">
        <f t="shared" si="13"/>
        <v>470.4</v>
      </c>
    </row>
    <row r="104" customHeight="1" spans="1:63">
      <c r="A104" s="4">
        <v>103</v>
      </c>
      <c r="B104" s="4" t="s">
        <v>271</v>
      </c>
      <c r="C104" s="5">
        <v>19868871652</v>
      </c>
      <c r="D104" s="65">
        <v>46101</v>
      </c>
      <c r="E104" s="65">
        <v>46201</v>
      </c>
      <c r="F104" s="4">
        <v>788</v>
      </c>
      <c r="G104" s="4">
        <v>30</v>
      </c>
      <c r="H104" s="66">
        <f t="shared" si="11"/>
        <v>26.2666666666667</v>
      </c>
      <c r="I104" s="6" t="s">
        <v>134</v>
      </c>
      <c r="J104" s="6" t="s">
        <v>272</v>
      </c>
      <c r="L104" s="75">
        <v>8</v>
      </c>
      <c r="R104" s="4">
        <v>1</v>
      </c>
      <c r="S104" s="4">
        <v>1</v>
      </c>
      <c r="T104" s="4">
        <v>1</v>
      </c>
      <c r="U104" s="4">
        <v>1</v>
      </c>
      <c r="W104" s="4">
        <v>1</v>
      </c>
      <c r="AP104" s="5"/>
      <c r="AR104" s="4">
        <f t="shared" si="8"/>
        <v>5</v>
      </c>
      <c r="AS104" s="4">
        <f t="shared" si="12"/>
        <v>3</v>
      </c>
      <c r="AT104" s="32">
        <f t="shared" si="13"/>
        <v>78.8000000000001</v>
      </c>
    </row>
    <row r="105" s="9" customFormat="1" customHeight="1" spans="1:63">
      <c r="A105" s="4">
        <v>104</v>
      </c>
      <c r="B105" s="9" t="s">
        <v>273</v>
      </c>
      <c r="C105" s="10">
        <v>17671799722</v>
      </c>
      <c r="D105" s="71">
        <v>46105</v>
      </c>
      <c r="E105" s="71">
        <v>46144</v>
      </c>
      <c r="F105" s="9">
        <v>488</v>
      </c>
      <c r="G105" s="9">
        <v>20</v>
      </c>
      <c r="H105" s="72">
        <f t="shared" si="11"/>
        <v>24.4</v>
      </c>
      <c r="I105" s="73" t="s">
        <v>240</v>
      </c>
      <c r="J105" s="73" t="s">
        <v>274</v>
      </c>
      <c r="K105" s="9"/>
      <c r="L105" s="85">
        <v>2</v>
      </c>
      <c r="M105" s="9"/>
      <c r="N105" s="9"/>
      <c r="O105" s="9"/>
      <c r="P105" s="9"/>
      <c r="Q105" s="9"/>
      <c r="R105" s="9"/>
      <c r="S105" s="9">
        <v>1</v>
      </c>
      <c r="T105" s="9">
        <v>1</v>
      </c>
      <c r="U105" s="9"/>
      <c r="V105" s="4"/>
      <c r="W105" s="4"/>
      <c r="X105" s="4"/>
      <c r="Y105" s="4"/>
      <c r="Z105" s="4"/>
      <c r="AA105" s="26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6"/>
      <c r="AQ105" s="4"/>
      <c r="AR105" s="9">
        <f t="shared" si="8"/>
        <v>2</v>
      </c>
      <c r="AS105" s="9">
        <f t="shared" si="12"/>
        <v>0</v>
      </c>
      <c r="AT105" s="51">
        <f t="shared" si="13"/>
        <v>0</v>
      </c>
    </row>
    <row r="106" s="4" customFormat="1" customHeight="1" spans="1:63">
      <c r="A106" s="4">
        <v>105</v>
      </c>
      <c r="B106" s="4" t="s">
        <v>275</v>
      </c>
      <c r="C106" s="5">
        <v>18627055627</v>
      </c>
      <c r="D106" s="65">
        <v>46105</v>
      </c>
      <c r="E106" s="4"/>
      <c r="F106" s="4">
        <v>488</v>
      </c>
      <c r="G106" s="4">
        <v>22</v>
      </c>
      <c r="H106" s="66">
        <f t="shared" si="11"/>
        <v>22.1818181818182</v>
      </c>
      <c r="I106" s="6" t="s">
        <v>276</v>
      </c>
      <c r="J106" s="6" t="s">
        <v>277</v>
      </c>
      <c r="L106" s="33">
        <v>9</v>
      </c>
      <c r="M106" s="1"/>
      <c r="N106" s="1"/>
      <c r="O106" s="1"/>
      <c r="P106" s="1"/>
      <c r="Q106" s="1"/>
      <c r="R106" s="1">
        <v>1</v>
      </c>
      <c r="S106" s="1">
        <v>1</v>
      </c>
      <c r="T106" s="1"/>
      <c r="U106" s="4">
        <v>1</v>
      </c>
      <c r="X106" s="1">
        <v>1</v>
      </c>
      <c r="Y106" s="4"/>
      <c r="Z106" s="4">
        <v>1</v>
      </c>
      <c r="AA106" s="26"/>
      <c r="AB106" s="4"/>
      <c r="AC106" s="4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6"/>
      <c r="AQ106" s="1"/>
      <c r="AR106" s="1">
        <f t="shared" si="8"/>
        <v>5</v>
      </c>
      <c r="AS106" s="1">
        <f t="shared" si="12"/>
        <v>4</v>
      </c>
      <c r="AT106" s="86">
        <f t="shared" si="13"/>
        <v>88.7272727272728</v>
      </c>
      <c r="AU106" s="1"/>
    </row>
    <row r="107" s="24" customFormat="1" customHeight="1" spans="1:63">
      <c r="A107" s="4">
        <v>106</v>
      </c>
      <c r="B107" s="7" t="s">
        <v>278</v>
      </c>
      <c r="C107" s="8">
        <v>13667257692</v>
      </c>
      <c r="D107" s="65">
        <v>46105</v>
      </c>
      <c r="E107" s="65">
        <v>46205</v>
      </c>
      <c r="F107" s="24">
        <v>788</v>
      </c>
      <c r="G107" s="24">
        <v>32</v>
      </c>
      <c r="H107" s="87">
        <f t="shared" si="11"/>
        <v>24.625</v>
      </c>
      <c r="I107" s="7" t="s">
        <v>279</v>
      </c>
      <c r="J107" s="7" t="s">
        <v>280</v>
      </c>
      <c r="K107" s="88" t="s">
        <v>281</v>
      </c>
      <c r="L107" s="89">
        <v>21</v>
      </c>
      <c r="R107" s="4">
        <v>1</v>
      </c>
      <c r="S107" s="4">
        <v>1</v>
      </c>
      <c r="T107" s="4"/>
      <c r="U107" s="4">
        <v>1</v>
      </c>
      <c r="V107" s="4"/>
      <c r="W107" s="4">
        <v>1</v>
      </c>
      <c r="X107" s="4">
        <v>2</v>
      </c>
      <c r="Y107" s="4">
        <v>1</v>
      </c>
      <c r="Z107" s="4">
        <v>1</v>
      </c>
      <c r="AA107" s="26"/>
      <c r="AB107" s="4"/>
      <c r="AC107" s="4"/>
      <c r="AG107" s="4"/>
      <c r="AH107" s="4"/>
      <c r="AI107" s="4"/>
      <c r="AJ107" s="4"/>
      <c r="AK107" s="4"/>
      <c r="AL107" s="4"/>
      <c r="AM107" s="4"/>
      <c r="AN107" s="4"/>
      <c r="AO107" s="4"/>
      <c r="AP107" s="6"/>
      <c r="AQ107" s="4"/>
      <c r="AR107" s="24">
        <f t="shared" si="8"/>
        <v>8</v>
      </c>
      <c r="AS107" s="24">
        <f t="shared" si="12"/>
        <v>13</v>
      </c>
      <c r="AT107" s="90">
        <f t="shared" si="13"/>
        <v>320.125</v>
      </c>
    </row>
    <row r="108" s="11" customFormat="1" customHeight="1" spans="1:63">
      <c r="A108" s="4">
        <v>107</v>
      </c>
      <c r="B108" s="11" t="s">
        <v>282</v>
      </c>
      <c r="C108" s="12">
        <v>13469993939</v>
      </c>
      <c r="D108" s="65">
        <v>46107</v>
      </c>
      <c r="E108" s="65">
        <v>46207</v>
      </c>
      <c r="F108" s="4">
        <v>488</v>
      </c>
      <c r="G108" s="4">
        <v>20</v>
      </c>
      <c r="H108" s="66">
        <f t="shared" si="11"/>
        <v>24.4</v>
      </c>
      <c r="I108" s="6" t="s">
        <v>240</v>
      </c>
      <c r="J108" s="80" t="s">
        <v>283</v>
      </c>
      <c r="K108" s="6" t="s">
        <v>284</v>
      </c>
      <c r="L108" s="91">
        <v>20</v>
      </c>
      <c r="M108" s="11"/>
      <c r="N108" s="11"/>
      <c r="O108" s="11"/>
      <c r="P108" s="11"/>
      <c r="Q108" s="11"/>
      <c r="R108" s="11"/>
      <c r="S108" s="11"/>
      <c r="T108" s="11"/>
      <c r="U108" s="4"/>
      <c r="V108" s="4"/>
      <c r="W108" s="4"/>
      <c r="X108" s="11"/>
      <c r="Y108" s="4"/>
      <c r="Z108" s="4"/>
      <c r="AA108" s="26"/>
      <c r="AB108" s="4"/>
      <c r="AC108" s="4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6"/>
      <c r="AQ108" s="11"/>
      <c r="AR108" s="11">
        <f t="shared" si="8"/>
        <v>0</v>
      </c>
      <c r="AS108" s="11">
        <f t="shared" si="12"/>
        <v>20</v>
      </c>
      <c r="AT108" s="81">
        <f t="shared" si="13"/>
        <v>488</v>
      </c>
    </row>
    <row r="109" customHeight="1" spans="1:63">
      <c r="A109" s="4">
        <v>108</v>
      </c>
      <c r="B109" s="6" t="s">
        <v>285</v>
      </c>
      <c r="C109" s="5">
        <v>18571032523</v>
      </c>
      <c r="D109" s="65">
        <v>46108</v>
      </c>
      <c r="E109" s="65">
        <v>46208</v>
      </c>
      <c r="F109" s="4">
        <v>588</v>
      </c>
      <c r="G109" s="4">
        <v>20</v>
      </c>
      <c r="H109" s="66">
        <f t="shared" si="11"/>
        <v>29.4</v>
      </c>
      <c r="I109" s="6" t="s">
        <v>102</v>
      </c>
      <c r="J109" s="6" t="s">
        <v>286</v>
      </c>
      <c r="L109" s="75">
        <v>3</v>
      </c>
      <c r="W109" s="4">
        <v>1</v>
      </c>
      <c r="X109" s="4">
        <v>1</v>
      </c>
      <c r="AP109" s="6"/>
      <c r="AR109" s="4">
        <f t="shared" si="8"/>
        <v>2</v>
      </c>
      <c r="AS109" s="4">
        <f t="shared" si="12"/>
        <v>1</v>
      </c>
      <c r="AT109" s="32">
        <f t="shared" si="13"/>
        <v>29.4</v>
      </c>
    </row>
    <row r="110" s="9" customFormat="1" customHeight="1" spans="1:63">
      <c r="A110" s="4">
        <v>109</v>
      </c>
      <c r="B110" s="9" t="s">
        <v>287</v>
      </c>
      <c r="C110" s="10">
        <v>17671056671</v>
      </c>
      <c r="D110" s="71">
        <v>46113</v>
      </c>
      <c r="E110" s="71">
        <v>46151</v>
      </c>
      <c r="F110" s="9">
        <v>488</v>
      </c>
      <c r="G110" s="9">
        <v>20</v>
      </c>
      <c r="H110" s="72">
        <f t="shared" si="11"/>
        <v>24.4</v>
      </c>
      <c r="I110" s="73" t="s">
        <v>240</v>
      </c>
      <c r="J110" s="73" t="s">
        <v>288</v>
      </c>
      <c r="K110" s="9"/>
      <c r="L110" s="9">
        <v>1</v>
      </c>
      <c r="M110" s="9"/>
      <c r="N110" s="9"/>
      <c r="O110" s="9"/>
      <c r="P110" s="9"/>
      <c r="Q110" s="9"/>
      <c r="R110" s="9"/>
      <c r="S110" s="9">
        <v>1</v>
      </c>
      <c r="T110" s="9"/>
      <c r="U110" s="9"/>
      <c r="V110" s="4"/>
      <c r="W110" s="4"/>
      <c r="X110" s="4"/>
      <c r="Y110" s="4"/>
      <c r="Z110" s="4"/>
      <c r="AA110" s="26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6"/>
      <c r="AQ110" s="4"/>
      <c r="AR110" s="9">
        <f t="shared" si="8"/>
        <v>1</v>
      </c>
      <c r="AS110" s="9">
        <f t="shared" si="12"/>
        <v>0</v>
      </c>
      <c r="AT110" s="51">
        <f t="shared" si="13"/>
        <v>0</v>
      </c>
    </row>
    <row r="111" customHeight="1" spans="1:63">
      <c r="A111" s="4">
        <v>110</v>
      </c>
      <c r="B111" s="4" t="s">
        <v>289</v>
      </c>
      <c r="C111" s="5">
        <v>15072027407</v>
      </c>
      <c r="D111" s="65">
        <v>46102</v>
      </c>
      <c r="E111" s="92" t="e">
        <v>#VALUE!</v>
      </c>
      <c r="F111" s="4">
        <v>788</v>
      </c>
      <c r="G111" s="4">
        <v>30</v>
      </c>
      <c r="H111" s="66">
        <f t="shared" si="11"/>
        <v>26.2666666666667</v>
      </c>
      <c r="I111" s="6" t="s">
        <v>189</v>
      </c>
      <c r="J111" s="6" t="s">
        <v>290</v>
      </c>
      <c r="K111" s="6" t="s">
        <v>291</v>
      </c>
      <c r="L111" s="75">
        <v>31</v>
      </c>
      <c r="S111" s="4">
        <v>1</v>
      </c>
      <c r="T111" s="4">
        <v>1</v>
      </c>
      <c r="W111" s="4">
        <v>2</v>
      </c>
      <c r="AP111" s="5"/>
      <c r="AQ111" s="5"/>
      <c r="AR111" s="4">
        <f t="shared" si="8"/>
        <v>4</v>
      </c>
      <c r="AS111" s="4">
        <f t="shared" si="12"/>
        <v>27</v>
      </c>
      <c r="AT111" s="32">
        <f t="shared" si="13"/>
        <v>709.200000000001</v>
      </c>
    </row>
    <row r="112" s="9" customFormat="1" customHeight="1" spans="1:63">
      <c r="A112" s="4">
        <v>111</v>
      </c>
      <c r="B112" s="9" t="s">
        <v>292</v>
      </c>
      <c r="C112" s="10">
        <v>15392836522</v>
      </c>
      <c r="D112" s="71">
        <v>46119</v>
      </c>
      <c r="E112" s="71">
        <v>46157</v>
      </c>
      <c r="F112" s="9">
        <v>488</v>
      </c>
      <c r="G112" s="9">
        <v>20</v>
      </c>
      <c r="H112" s="72">
        <f t="shared" si="11"/>
        <v>24.4</v>
      </c>
      <c r="I112" s="73" t="s">
        <v>240</v>
      </c>
      <c r="J112" s="73" t="s">
        <v>259</v>
      </c>
      <c r="K112" s="9"/>
      <c r="L112" s="9">
        <v>1</v>
      </c>
      <c r="M112" s="9"/>
      <c r="N112" s="9"/>
      <c r="O112" s="9"/>
      <c r="P112" s="9"/>
      <c r="Q112" s="9"/>
      <c r="R112" s="9">
        <v>1</v>
      </c>
      <c r="S112" s="9"/>
      <c r="T112" s="9"/>
      <c r="U112" s="9"/>
      <c r="V112" s="4"/>
      <c r="W112" s="4"/>
      <c r="X112" s="4"/>
      <c r="Y112" s="4"/>
      <c r="Z112" s="4"/>
      <c r="AA112" s="26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5"/>
      <c r="AQ112" s="4"/>
      <c r="AR112" s="9">
        <f t="shared" si="8"/>
        <v>1</v>
      </c>
      <c r="AS112" s="9">
        <f t="shared" si="12"/>
        <v>0</v>
      </c>
      <c r="AT112" s="51">
        <f t="shared" si="13"/>
        <v>0</v>
      </c>
    </row>
    <row r="113" s="9" customFormat="1" customHeight="1" spans="1:63">
      <c r="A113" s="4">
        <v>112</v>
      </c>
      <c r="B113" s="9" t="s">
        <v>293</v>
      </c>
      <c r="C113" s="10">
        <v>15207135974</v>
      </c>
      <c r="D113" s="71">
        <v>46122</v>
      </c>
      <c r="E113" s="71">
        <v>46191</v>
      </c>
      <c r="F113" s="9">
        <v>976</v>
      </c>
      <c r="G113" s="9">
        <v>40</v>
      </c>
      <c r="H113" s="72">
        <f t="shared" si="11"/>
        <v>24.4</v>
      </c>
      <c r="I113" s="73" t="s">
        <v>294</v>
      </c>
      <c r="J113" s="73" t="s">
        <v>295</v>
      </c>
      <c r="K113" s="9"/>
      <c r="L113" s="9">
        <v>8</v>
      </c>
      <c r="M113" s="9"/>
      <c r="N113" s="9"/>
      <c r="O113" s="9"/>
      <c r="P113" s="9"/>
      <c r="Q113" s="9"/>
      <c r="R113" s="9"/>
      <c r="S113" s="9">
        <v>2</v>
      </c>
      <c r="T113" s="9">
        <v>2</v>
      </c>
      <c r="U113" s="9">
        <v>2</v>
      </c>
      <c r="V113" s="9"/>
      <c r="W113" s="9"/>
      <c r="X113" s="9"/>
      <c r="Y113" s="9">
        <v>2</v>
      </c>
      <c r="Z113" s="4"/>
      <c r="AA113" s="26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5"/>
      <c r="AQ113" s="5"/>
      <c r="AR113" s="9">
        <f t="shared" si="8"/>
        <v>8</v>
      </c>
      <c r="AS113" s="9">
        <f t="shared" si="12"/>
        <v>0</v>
      </c>
      <c r="AT113" s="51">
        <f t="shared" si="13"/>
        <v>0</v>
      </c>
    </row>
    <row r="114" s="9" customFormat="1" customHeight="1" spans="1:63">
      <c r="A114" s="4">
        <v>113</v>
      </c>
      <c r="B114" s="9" t="s">
        <v>296</v>
      </c>
      <c r="C114" s="10">
        <v>13027131706</v>
      </c>
      <c r="D114" s="71">
        <v>46119</v>
      </c>
      <c r="E114" s="71">
        <v>46157</v>
      </c>
      <c r="F114" s="9">
        <v>488</v>
      </c>
      <c r="G114" s="9">
        <v>20</v>
      </c>
      <c r="H114" s="72">
        <f t="shared" si="11"/>
        <v>24.4</v>
      </c>
      <c r="I114" s="73" t="s">
        <v>240</v>
      </c>
      <c r="J114" s="73" t="s">
        <v>259</v>
      </c>
      <c r="K114" s="9"/>
      <c r="L114" s="9">
        <v>3</v>
      </c>
      <c r="M114" s="9"/>
      <c r="N114" s="9"/>
      <c r="O114" s="9"/>
      <c r="P114" s="9"/>
      <c r="Q114" s="9"/>
      <c r="R114" s="9">
        <v>1</v>
      </c>
      <c r="S114" s="9">
        <v>1</v>
      </c>
      <c r="T114" s="9"/>
      <c r="U114" s="9">
        <v>1</v>
      </c>
      <c r="V114" s="4"/>
      <c r="W114" s="4"/>
      <c r="X114" s="4"/>
      <c r="Y114" s="4"/>
      <c r="Z114" s="4"/>
      <c r="AA114" s="26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5"/>
      <c r="AQ114" s="4"/>
      <c r="AR114" s="9">
        <f t="shared" si="8"/>
        <v>3</v>
      </c>
      <c r="AS114" s="9">
        <f t="shared" si="12"/>
        <v>0</v>
      </c>
      <c r="AT114" s="51">
        <f t="shared" si="13"/>
        <v>0</v>
      </c>
    </row>
    <row r="115" customHeight="1" spans="1:63">
      <c r="A115" s="4">
        <v>114</v>
      </c>
      <c r="B115" s="4" t="s">
        <v>297</v>
      </c>
      <c r="C115" s="5">
        <v>13071236781</v>
      </c>
      <c r="D115" s="65">
        <v>46119</v>
      </c>
      <c r="E115" s="65">
        <v>46157</v>
      </c>
      <c r="F115" s="4">
        <v>488</v>
      </c>
      <c r="G115" s="4">
        <v>21</v>
      </c>
      <c r="H115" s="66">
        <f t="shared" si="11"/>
        <v>23.2380952380952</v>
      </c>
      <c r="I115" s="6" t="s">
        <v>298</v>
      </c>
      <c r="J115" s="6" t="s">
        <v>299</v>
      </c>
      <c r="L115" s="4">
        <v>8</v>
      </c>
      <c r="T115" s="4">
        <v>4</v>
      </c>
      <c r="Y115" s="4">
        <v>2</v>
      </c>
      <c r="AA115" s="26">
        <v>2</v>
      </c>
      <c r="AP115" s="6"/>
      <c r="AR115" s="4">
        <f t="shared" si="8"/>
        <v>8</v>
      </c>
      <c r="AS115" s="4">
        <f t="shared" si="12"/>
        <v>0</v>
      </c>
      <c r="AT115" s="32">
        <f t="shared" si="13"/>
        <v>0</v>
      </c>
    </row>
    <row r="116" s="9" customFormat="1" customHeight="1" spans="1:63">
      <c r="A116" s="4">
        <v>115</v>
      </c>
      <c r="B116" s="9" t="s">
        <v>300</v>
      </c>
      <c r="C116" s="10">
        <v>18752385401</v>
      </c>
      <c r="D116" s="71">
        <v>46119</v>
      </c>
      <c r="E116" s="71">
        <v>46157</v>
      </c>
      <c r="F116" s="9">
        <v>488</v>
      </c>
      <c r="G116" s="9">
        <v>20</v>
      </c>
      <c r="H116" s="72">
        <f t="shared" si="11"/>
        <v>24.4</v>
      </c>
      <c r="I116" s="73" t="s">
        <v>240</v>
      </c>
      <c r="J116" s="73" t="s">
        <v>259</v>
      </c>
      <c r="K116" s="9"/>
      <c r="L116" s="9">
        <v>1</v>
      </c>
      <c r="M116" s="9"/>
      <c r="N116" s="9"/>
      <c r="O116" s="9"/>
      <c r="P116" s="9"/>
      <c r="Q116" s="9"/>
      <c r="R116" s="9"/>
      <c r="S116" s="9">
        <v>1</v>
      </c>
      <c r="T116" s="9"/>
      <c r="U116" s="9"/>
      <c r="V116" s="4"/>
      <c r="W116" s="4"/>
      <c r="X116" s="4"/>
      <c r="Y116" s="4"/>
      <c r="Z116" s="4"/>
      <c r="AA116" s="26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6"/>
      <c r="AQ116" s="4"/>
      <c r="AR116" s="9">
        <f t="shared" si="8"/>
        <v>1</v>
      </c>
      <c r="AS116" s="9">
        <f t="shared" si="12"/>
        <v>0</v>
      </c>
      <c r="AT116" s="51">
        <f t="shared" si="13"/>
        <v>0</v>
      </c>
    </row>
    <row r="117" s="9" customFormat="1" customHeight="1" spans="1:63">
      <c r="A117" s="4">
        <v>116</v>
      </c>
      <c r="B117" s="9" t="s">
        <v>301</v>
      </c>
      <c r="C117" s="10">
        <v>15271267920</v>
      </c>
      <c r="D117" s="71">
        <v>46119</v>
      </c>
      <c r="E117" s="71">
        <v>46157</v>
      </c>
      <c r="F117" s="9">
        <v>488</v>
      </c>
      <c r="G117" s="9">
        <v>20</v>
      </c>
      <c r="H117" s="72">
        <f t="shared" si="11"/>
        <v>24.4</v>
      </c>
      <c r="I117" s="73" t="s">
        <v>240</v>
      </c>
      <c r="J117" s="73" t="s">
        <v>259</v>
      </c>
      <c r="K117" s="9"/>
      <c r="L117" s="9">
        <v>3</v>
      </c>
      <c r="M117" s="9"/>
      <c r="N117" s="9"/>
      <c r="O117" s="9"/>
      <c r="P117" s="9"/>
      <c r="Q117" s="9"/>
      <c r="R117" s="9">
        <v>1</v>
      </c>
      <c r="S117" s="9">
        <v>1</v>
      </c>
      <c r="T117" s="9"/>
      <c r="U117" s="9"/>
      <c r="V117" s="9"/>
      <c r="W117" s="9">
        <v>1</v>
      </c>
      <c r="X117" s="4"/>
      <c r="Y117" s="4"/>
      <c r="Z117" s="4"/>
      <c r="AA117" s="26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5"/>
      <c r="AQ117" s="4"/>
      <c r="AR117" s="9">
        <f t="shared" si="8"/>
        <v>3</v>
      </c>
      <c r="AS117" s="9">
        <f t="shared" si="12"/>
        <v>0</v>
      </c>
      <c r="AT117" s="51">
        <f t="shared" si="13"/>
        <v>0</v>
      </c>
    </row>
    <row r="118" customHeight="1" spans="1:63">
      <c r="A118" s="4">
        <v>117</v>
      </c>
      <c r="B118" s="4" t="s">
        <v>302</v>
      </c>
      <c r="C118" s="5">
        <v>13949318933</v>
      </c>
      <c r="D118" s="65">
        <v>46119</v>
      </c>
      <c r="E118" s="65">
        <v>46157</v>
      </c>
      <c r="F118" s="4">
        <v>488</v>
      </c>
      <c r="G118" s="4">
        <v>20</v>
      </c>
      <c r="H118" s="66">
        <f t="shared" si="11"/>
        <v>24.4</v>
      </c>
      <c r="I118" s="6" t="s">
        <v>240</v>
      </c>
      <c r="J118" s="6" t="s">
        <v>259</v>
      </c>
      <c r="L118" s="4">
        <v>3</v>
      </c>
      <c r="R118" s="4">
        <v>1</v>
      </c>
      <c r="U118" s="4">
        <v>1</v>
      </c>
      <c r="AP118" s="6"/>
      <c r="AR118" s="4">
        <f t="shared" si="8"/>
        <v>2</v>
      </c>
      <c r="AS118" s="4">
        <f t="shared" si="12"/>
        <v>1</v>
      </c>
      <c r="AT118" s="32">
        <f t="shared" si="13"/>
        <v>24.4</v>
      </c>
    </row>
    <row r="119" customHeight="1" spans="1:63">
      <c r="A119" s="4">
        <v>118</v>
      </c>
      <c r="B119" s="6" t="s">
        <v>303</v>
      </c>
      <c r="C119" s="5">
        <v>18522072661</v>
      </c>
      <c r="D119" s="65">
        <v>46124</v>
      </c>
      <c r="E119" s="65">
        <v>46223</v>
      </c>
      <c r="F119" s="4">
        <v>970</v>
      </c>
      <c r="G119" s="4">
        <v>40</v>
      </c>
      <c r="H119" s="66">
        <f t="shared" si="11"/>
        <v>24.25</v>
      </c>
      <c r="I119" s="6" t="s">
        <v>304</v>
      </c>
      <c r="J119" s="6" t="s">
        <v>305</v>
      </c>
      <c r="K119" s="6" t="s">
        <v>306</v>
      </c>
      <c r="L119" s="75">
        <v>32</v>
      </c>
      <c r="R119" s="4">
        <v>1</v>
      </c>
      <c r="S119" s="4">
        <v>1</v>
      </c>
      <c r="T119" s="4">
        <v>1</v>
      </c>
      <c r="U119" s="4">
        <v>1</v>
      </c>
      <c r="W119" s="4">
        <v>1</v>
      </c>
      <c r="X119" s="4">
        <v>1</v>
      </c>
      <c r="Y119" s="4">
        <v>1</v>
      </c>
      <c r="AA119" s="26">
        <v>1</v>
      </c>
      <c r="AP119" s="6"/>
      <c r="AR119" s="4">
        <f t="shared" si="8"/>
        <v>8</v>
      </c>
      <c r="AS119" s="4">
        <f t="shared" si="12"/>
        <v>24</v>
      </c>
      <c r="AT119" s="32">
        <f t="shared" si="13"/>
        <v>582</v>
      </c>
    </row>
    <row r="120" customHeight="1" spans="1:63">
      <c r="A120" s="4">
        <v>119</v>
      </c>
      <c r="B120" s="6" t="s">
        <v>307</v>
      </c>
      <c r="C120" s="5">
        <v>13277381689</v>
      </c>
      <c r="D120" s="65">
        <v>46119</v>
      </c>
      <c r="E120" s="65">
        <v>46157</v>
      </c>
      <c r="F120" s="4">
        <v>488</v>
      </c>
      <c r="G120" s="4">
        <v>20</v>
      </c>
      <c r="H120" s="66">
        <f t="shared" si="11"/>
        <v>24.4</v>
      </c>
      <c r="I120" s="6" t="s">
        <v>240</v>
      </c>
      <c r="J120" s="6" t="s">
        <v>259</v>
      </c>
      <c r="L120" s="4">
        <v>7</v>
      </c>
      <c r="R120" s="4">
        <v>1</v>
      </c>
      <c r="S120" s="4">
        <v>1</v>
      </c>
      <c r="Y120" s="4">
        <v>1</v>
      </c>
      <c r="Z120" s="4">
        <v>1</v>
      </c>
      <c r="AA120" s="26">
        <v>2</v>
      </c>
      <c r="AM120" s="6"/>
      <c r="AP120" s="5"/>
      <c r="AR120" s="4">
        <f t="shared" si="8"/>
        <v>6</v>
      </c>
      <c r="AS120" s="4">
        <f t="shared" si="12"/>
        <v>1</v>
      </c>
      <c r="AT120" s="32">
        <f t="shared" si="13"/>
        <v>24.4</v>
      </c>
    </row>
    <row r="121" s="9" customFormat="1" customHeight="1" spans="1:63">
      <c r="A121" s="4">
        <v>120</v>
      </c>
      <c r="B121" s="9" t="s">
        <v>308</v>
      </c>
      <c r="C121" s="10">
        <v>13972893880</v>
      </c>
      <c r="D121" s="71">
        <v>46119</v>
      </c>
      <c r="E121" s="71">
        <v>46157</v>
      </c>
      <c r="F121" s="9">
        <v>488</v>
      </c>
      <c r="G121" s="9">
        <v>20</v>
      </c>
      <c r="H121" s="72">
        <f t="shared" si="11"/>
        <v>24.4</v>
      </c>
      <c r="I121" s="73" t="s">
        <v>240</v>
      </c>
      <c r="J121" s="73" t="s">
        <v>259</v>
      </c>
      <c r="K121" s="9"/>
      <c r="L121" s="9">
        <v>6</v>
      </c>
      <c r="M121" s="9"/>
      <c r="N121" s="9"/>
      <c r="O121" s="9"/>
      <c r="P121" s="9"/>
      <c r="Q121" s="9"/>
      <c r="R121" s="9"/>
      <c r="S121" s="9"/>
      <c r="T121" s="9">
        <v>1</v>
      </c>
      <c r="U121" s="9">
        <v>2</v>
      </c>
      <c r="V121" s="9"/>
      <c r="W121" s="9">
        <v>1</v>
      </c>
      <c r="X121" s="9">
        <v>2</v>
      </c>
      <c r="Y121" s="4"/>
      <c r="Z121" s="4"/>
      <c r="AA121" s="26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5"/>
      <c r="AQ121" s="5"/>
      <c r="AR121" s="9">
        <f t="shared" si="8"/>
        <v>6</v>
      </c>
      <c r="AS121" s="9">
        <f t="shared" si="12"/>
        <v>0</v>
      </c>
      <c r="AT121" s="51">
        <f t="shared" si="13"/>
        <v>0</v>
      </c>
    </row>
    <row r="122" s="9" customFormat="1" customHeight="1" spans="1:63">
      <c r="A122" s="4">
        <v>121</v>
      </c>
      <c r="B122" s="9" t="s">
        <v>309</v>
      </c>
      <c r="C122" s="10">
        <v>13523628059</v>
      </c>
      <c r="D122" s="71">
        <v>46119</v>
      </c>
      <c r="E122" s="71">
        <v>46157</v>
      </c>
      <c r="F122" s="9">
        <v>488</v>
      </c>
      <c r="G122" s="9">
        <v>20</v>
      </c>
      <c r="H122" s="72">
        <f t="shared" si="11"/>
        <v>24.4</v>
      </c>
      <c r="I122" s="73" t="s">
        <v>240</v>
      </c>
      <c r="J122" s="73" t="s">
        <v>259</v>
      </c>
      <c r="K122" s="9"/>
      <c r="L122" s="9">
        <v>4</v>
      </c>
      <c r="M122" s="9"/>
      <c r="N122" s="9"/>
      <c r="O122" s="9"/>
      <c r="P122" s="9"/>
      <c r="Q122" s="9"/>
      <c r="R122" s="9">
        <v>1</v>
      </c>
      <c r="S122" s="9">
        <v>1</v>
      </c>
      <c r="T122" s="9"/>
      <c r="U122" s="9">
        <v>1</v>
      </c>
      <c r="V122" s="9"/>
      <c r="W122" s="9"/>
      <c r="X122" s="9"/>
      <c r="Y122" s="9"/>
      <c r="Z122" s="9">
        <v>1</v>
      </c>
      <c r="AA122" s="26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6"/>
      <c r="AQ122" s="4"/>
      <c r="AR122" s="9">
        <f t="shared" si="8"/>
        <v>4</v>
      </c>
      <c r="AS122" s="9">
        <f t="shared" si="12"/>
        <v>0</v>
      </c>
      <c r="AT122" s="51">
        <f t="shared" si="13"/>
        <v>0</v>
      </c>
    </row>
    <row r="123" customHeight="1" spans="1:63">
      <c r="A123" s="4">
        <v>122</v>
      </c>
      <c r="B123" s="4" t="s">
        <v>310</v>
      </c>
      <c r="C123" s="5">
        <v>15982117859</v>
      </c>
      <c r="D123" s="65">
        <v>46119</v>
      </c>
      <c r="E123" s="65">
        <v>46157</v>
      </c>
      <c r="F123" s="4">
        <v>488</v>
      </c>
      <c r="G123" s="4">
        <v>20</v>
      </c>
      <c r="H123" s="66">
        <f t="shared" si="11"/>
        <v>24.4</v>
      </c>
      <c r="I123" s="6" t="s">
        <v>240</v>
      </c>
      <c r="J123" s="6" t="s">
        <v>259</v>
      </c>
      <c r="L123" s="4">
        <v>2</v>
      </c>
      <c r="AP123" s="6"/>
      <c r="AR123" s="4">
        <f t="shared" si="8"/>
        <v>0</v>
      </c>
      <c r="AS123" s="4">
        <f t="shared" si="12"/>
        <v>2</v>
      </c>
      <c r="AT123" s="32">
        <f t="shared" si="13"/>
        <v>48.8</v>
      </c>
    </row>
    <row r="124" s="9" customFormat="1" customHeight="1" spans="1:63">
      <c r="A124" s="4">
        <v>123</v>
      </c>
      <c r="B124" s="73" t="s">
        <v>311</v>
      </c>
      <c r="C124" s="10">
        <v>18771968229</v>
      </c>
      <c r="D124" s="71">
        <v>46119</v>
      </c>
      <c r="E124" s="71">
        <v>46157</v>
      </c>
      <c r="F124" s="9">
        <v>488</v>
      </c>
      <c r="G124" s="9">
        <v>20</v>
      </c>
      <c r="H124" s="72">
        <f t="shared" si="11"/>
        <v>24.4</v>
      </c>
      <c r="I124" s="73" t="s">
        <v>240</v>
      </c>
      <c r="J124" s="73" t="s">
        <v>259</v>
      </c>
      <c r="K124" s="9"/>
      <c r="L124" s="9">
        <v>2</v>
      </c>
      <c r="M124" s="9"/>
      <c r="N124" s="9"/>
      <c r="O124" s="9"/>
      <c r="P124" s="9"/>
      <c r="Q124" s="9"/>
      <c r="R124" s="9"/>
      <c r="S124" s="9">
        <v>1</v>
      </c>
      <c r="T124" s="9">
        <v>1</v>
      </c>
      <c r="U124" s="9"/>
      <c r="V124" s="4"/>
      <c r="W124" s="4"/>
      <c r="X124" s="4"/>
      <c r="Y124" s="4"/>
      <c r="Z124" s="4"/>
      <c r="AA124" s="26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5"/>
      <c r="AQ124" s="5"/>
      <c r="AR124" s="9">
        <f t="shared" si="8"/>
        <v>2</v>
      </c>
      <c r="AS124" s="9">
        <f t="shared" si="12"/>
        <v>0</v>
      </c>
      <c r="AT124" s="51">
        <f t="shared" si="13"/>
        <v>0</v>
      </c>
    </row>
    <row r="125" customHeight="1" spans="1:63">
      <c r="A125" s="4">
        <v>124</v>
      </c>
      <c r="B125" s="4" t="s">
        <v>312</v>
      </c>
      <c r="C125" s="5">
        <v>15172650063</v>
      </c>
      <c r="D125" s="65">
        <v>46119</v>
      </c>
      <c r="E125" s="65">
        <v>46157</v>
      </c>
      <c r="F125" s="4">
        <v>488</v>
      </c>
      <c r="G125" s="4">
        <v>20</v>
      </c>
      <c r="H125" s="66">
        <f t="shared" si="11"/>
        <v>24.4</v>
      </c>
      <c r="I125" s="6" t="s">
        <v>240</v>
      </c>
      <c r="J125" s="6" t="s">
        <v>259</v>
      </c>
      <c r="L125" s="4">
        <v>6</v>
      </c>
      <c r="S125" s="4">
        <v>1</v>
      </c>
      <c r="Y125" s="4">
        <v>2</v>
      </c>
      <c r="Z125" s="4">
        <v>1</v>
      </c>
      <c r="AP125" s="6"/>
      <c r="AR125" s="4">
        <f t="shared" si="8"/>
        <v>4</v>
      </c>
      <c r="AS125" s="4">
        <f t="shared" si="12"/>
        <v>2</v>
      </c>
      <c r="AT125" s="32">
        <f t="shared" si="13"/>
        <v>48.8</v>
      </c>
    </row>
    <row r="126" customHeight="1" spans="1:63">
      <c r="A126" s="4">
        <v>125</v>
      </c>
      <c r="B126" s="4" t="s">
        <v>313</v>
      </c>
      <c r="C126" s="5">
        <v>15727136289</v>
      </c>
      <c r="D126" s="65">
        <v>46119</v>
      </c>
      <c r="E126" s="65">
        <v>46157</v>
      </c>
      <c r="F126" s="4">
        <v>488</v>
      </c>
      <c r="G126" s="4">
        <v>20</v>
      </c>
      <c r="H126" s="66">
        <f t="shared" si="11"/>
        <v>24.4</v>
      </c>
      <c r="I126" s="6" t="s">
        <v>240</v>
      </c>
      <c r="J126" s="6" t="s">
        <v>259</v>
      </c>
      <c r="L126" s="4">
        <v>7</v>
      </c>
      <c r="R126" s="4">
        <v>1</v>
      </c>
      <c r="AP126" s="6"/>
      <c r="AR126" s="4">
        <f t="shared" si="8"/>
        <v>1</v>
      </c>
      <c r="AS126" s="4">
        <f t="shared" si="12"/>
        <v>6</v>
      </c>
      <c r="AT126" s="32">
        <f t="shared" si="13"/>
        <v>146.4</v>
      </c>
    </row>
    <row r="127" customHeight="1" spans="1:63">
      <c r="A127" s="4">
        <v>126</v>
      </c>
      <c r="B127" s="73" t="s">
        <v>314</v>
      </c>
      <c r="C127" s="10">
        <v>15771081250</v>
      </c>
      <c r="D127" s="71">
        <v>46119</v>
      </c>
      <c r="E127" s="71">
        <v>46157</v>
      </c>
      <c r="F127" s="9">
        <v>488</v>
      </c>
      <c r="G127" s="9">
        <v>20</v>
      </c>
      <c r="H127" s="72">
        <f t="shared" si="11"/>
        <v>24.4</v>
      </c>
      <c r="I127" s="73" t="s">
        <v>240</v>
      </c>
      <c r="J127" s="73" t="s">
        <v>259</v>
      </c>
      <c r="K127" s="9"/>
      <c r="L127" s="9">
        <v>0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73"/>
      <c r="AQ127" s="9"/>
      <c r="AR127" s="9">
        <f t="shared" si="8"/>
        <v>0</v>
      </c>
      <c r="AS127" s="9">
        <f t="shared" si="12"/>
        <v>0</v>
      </c>
      <c r="AT127" s="51">
        <f t="shared" si="13"/>
        <v>0</v>
      </c>
      <c r="AU127" s="9">
        <v>114.8</v>
      </c>
      <c r="AV127" s="9" t="s">
        <v>315</v>
      </c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</row>
    <row r="128" customHeight="1" spans="1:63">
      <c r="A128" s="4">
        <v>127</v>
      </c>
      <c r="B128" s="6" t="s">
        <v>316</v>
      </c>
      <c r="C128" s="5">
        <v>13068888895</v>
      </c>
      <c r="D128" s="65">
        <v>46119</v>
      </c>
      <c r="E128" s="65">
        <v>46188</v>
      </c>
      <c r="F128" s="4">
        <v>976</v>
      </c>
      <c r="G128" s="4">
        <v>42</v>
      </c>
      <c r="H128" s="66">
        <f t="shared" si="11"/>
        <v>23.2380952380952</v>
      </c>
      <c r="I128" s="4">
        <v>976.42</v>
      </c>
      <c r="J128" s="6" t="s">
        <v>317</v>
      </c>
      <c r="L128" s="4">
        <v>25</v>
      </c>
      <c r="R128" s="4">
        <v>1</v>
      </c>
      <c r="S128" s="4">
        <v>1</v>
      </c>
      <c r="T128" s="4">
        <v>1</v>
      </c>
      <c r="W128" s="4">
        <v>1</v>
      </c>
      <c r="X128" s="4">
        <v>1</v>
      </c>
      <c r="Y128" s="4">
        <v>1</v>
      </c>
      <c r="Z128" s="4">
        <v>1</v>
      </c>
      <c r="AP128" s="6"/>
      <c r="AR128" s="4">
        <f t="shared" si="8"/>
        <v>7</v>
      </c>
      <c r="AS128" s="4">
        <f t="shared" si="12"/>
        <v>18</v>
      </c>
      <c r="AT128" s="32">
        <f t="shared" si="13"/>
        <v>418.285714285714</v>
      </c>
    </row>
    <row r="129" s="9" customFormat="1" customHeight="1" spans="1:46">
      <c r="A129" s="4">
        <v>128</v>
      </c>
      <c r="B129" s="73" t="s">
        <v>318</v>
      </c>
      <c r="C129" s="10">
        <v>17803896711</v>
      </c>
      <c r="D129" s="71">
        <v>46119</v>
      </c>
      <c r="E129" s="71">
        <v>46157</v>
      </c>
      <c r="F129" s="9">
        <v>488</v>
      </c>
      <c r="G129" s="9">
        <v>20</v>
      </c>
      <c r="H129" s="72">
        <f t="shared" si="11"/>
        <v>24.4</v>
      </c>
      <c r="I129" s="73" t="s">
        <v>240</v>
      </c>
      <c r="J129" s="73" t="s">
        <v>259</v>
      </c>
      <c r="K129" s="9"/>
      <c r="L129" s="9">
        <v>2</v>
      </c>
      <c r="M129" s="9"/>
      <c r="N129" s="9"/>
      <c r="O129" s="9"/>
      <c r="P129" s="9"/>
      <c r="Q129" s="9"/>
      <c r="R129" s="9">
        <v>2</v>
      </c>
      <c r="S129" s="9"/>
      <c r="T129" s="9"/>
      <c r="U129" s="9"/>
      <c r="V129" s="4"/>
      <c r="W129" s="4"/>
      <c r="X129" s="4"/>
      <c r="Y129" s="4"/>
      <c r="Z129" s="4"/>
      <c r="AA129" s="26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5"/>
      <c r="AQ129" s="4"/>
      <c r="AR129" s="9">
        <f t="shared" si="8"/>
        <v>2</v>
      </c>
      <c r="AS129" s="9">
        <f t="shared" si="12"/>
        <v>0</v>
      </c>
      <c r="AT129" s="51">
        <f t="shared" si="13"/>
        <v>0</v>
      </c>
    </row>
    <row r="130" customHeight="1" spans="1:46">
      <c r="A130" s="4">
        <v>129</v>
      </c>
      <c r="B130" s="6" t="s">
        <v>319</v>
      </c>
      <c r="C130" s="5">
        <v>15327182252</v>
      </c>
      <c r="D130" s="65">
        <v>46119</v>
      </c>
      <c r="E130" s="65">
        <v>46157</v>
      </c>
      <c r="F130" s="4">
        <v>488</v>
      </c>
      <c r="G130" s="4">
        <v>20</v>
      </c>
      <c r="H130" s="66">
        <f t="shared" si="11"/>
        <v>24.4</v>
      </c>
      <c r="I130" s="6" t="s">
        <v>240</v>
      </c>
      <c r="J130" s="6" t="s">
        <v>259</v>
      </c>
      <c r="L130" s="4">
        <v>7</v>
      </c>
      <c r="U130" s="4">
        <v>1</v>
      </c>
      <c r="W130" s="4">
        <v>2</v>
      </c>
      <c r="X130" s="4">
        <v>1</v>
      </c>
      <c r="AA130" s="26">
        <v>3</v>
      </c>
      <c r="AP130" s="6"/>
      <c r="AR130" s="4">
        <f t="shared" si="8"/>
        <v>7</v>
      </c>
      <c r="AS130" s="4">
        <f t="shared" si="12"/>
        <v>0</v>
      </c>
      <c r="AT130" s="32">
        <f t="shared" si="13"/>
        <v>0</v>
      </c>
    </row>
    <row r="131" s="4" customFormat="1" customHeight="1" spans="1:46">
      <c r="A131" s="4">
        <v>130</v>
      </c>
      <c r="B131" s="4" t="s">
        <v>320</v>
      </c>
      <c r="C131" s="5">
        <v>15903529466</v>
      </c>
      <c r="D131" s="65">
        <v>46251</v>
      </c>
      <c r="E131" s="65">
        <v>46282</v>
      </c>
      <c r="F131" s="4">
        <v>488</v>
      </c>
      <c r="G131" s="4">
        <v>20</v>
      </c>
      <c r="H131" s="66">
        <f t="shared" ref="H131:H155" si="14">F131/G131</f>
        <v>24.4</v>
      </c>
      <c r="I131" s="6" t="s">
        <v>240</v>
      </c>
      <c r="J131" s="1" t="s">
        <v>321</v>
      </c>
      <c r="K131" s="6" t="s">
        <v>259</v>
      </c>
      <c r="L131" s="75">
        <v>45</v>
      </c>
      <c r="R131" s="4">
        <v>2</v>
      </c>
      <c r="S131" s="4">
        <v>2</v>
      </c>
      <c r="T131" s="4">
        <v>2</v>
      </c>
      <c r="U131" s="4">
        <v>2</v>
      </c>
      <c r="W131" s="4">
        <v>2</v>
      </c>
      <c r="X131" s="4">
        <v>2</v>
      </c>
      <c r="Y131" s="4">
        <v>2</v>
      </c>
      <c r="Z131" s="4">
        <v>2</v>
      </c>
      <c r="AA131" s="26"/>
      <c r="AB131" s="4"/>
      <c r="AC131" s="4"/>
      <c r="AP131" s="6"/>
      <c r="AQ131" s="4"/>
      <c r="AR131" s="4">
        <f t="shared" ref="AR131:AR147" si="15">SUM(M131:AQ131)</f>
        <v>16</v>
      </c>
      <c r="AS131" s="4">
        <f t="shared" si="12"/>
        <v>29</v>
      </c>
      <c r="AT131" s="32">
        <f t="shared" si="13"/>
        <v>707.6</v>
      </c>
    </row>
    <row r="132" customHeight="1" spans="1:46">
      <c r="A132" s="4">
        <v>131</v>
      </c>
      <c r="B132" s="4" t="s">
        <v>322</v>
      </c>
      <c r="C132" s="5">
        <v>19313937203</v>
      </c>
      <c r="D132" s="65">
        <v>46119</v>
      </c>
      <c r="E132" s="65">
        <v>46157</v>
      </c>
      <c r="F132" s="4">
        <v>488</v>
      </c>
      <c r="G132" s="4">
        <v>20</v>
      </c>
      <c r="H132" s="66">
        <f t="shared" si="14"/>
        <v>24.4</v>
      </c>
      <c r="I132" s="6" t="s">
        <v>240</v>
      </c>
      <c r="J132" s="6" t="s">
        <v>259</v>
      </c>
      <c r="L132" s="4">
        <v>7</v>
      </c>
      <c r="R132" s="4">
        <v>1</v>
      </c>
      <c r="S132" s="4">
        <v>2</v>
      </c>
      <c r="T132" s="4">
        <v>1</v>
      </c>
      <c r="U132" s="4">
        <v>1</v>
      </c>
      <c r="Z132" s="4">
        <v>1</v>
      </c>
      <c r="AA132" s="26">
        <v>1</v>
      </c>
      <c r="AP132" s="5"/>
      <c r="AR132" s="4">
        <f t="shared" si="15"/>
        <v>7</v>
      </c>
      <c r="AS132" s="4">
        <f t="shared" si="12"/>
        <v>0</v>
      </c>
      <c r="AT132" s="32">
        <f t="shared" si="13"/>
        <v>0</v>
      </c>
    </row>
    <row r="133" s="9" customFormat="1" customHeight="1" spans="1:46">
      <c r="A133" s="4">
        <v>132</v>
      </c>
      <c r="B133" s="9" t="s">
        <v>323</v>
      </c>
      <c r="C133" s="10">
        <v>13623925727</v>
      </c>
      <c r="D133" s="71">
        <v>46123</v>
      </c>
      <c r="E133" s="71">
        <v>46161</v>
      </c>
      <c r="F133" s="9">
        <v>299</v>
      </c>
      <c r="G133" s="9">
        <v>9</v>
      </c>
      <c r="H133" s="72">
        <f t="shared" si="14"/>
        <v>33.2222222222222</v>
      </c>
      <c r="I133" s="73" t="s">
        <v>267</v>
      </c>
      <c r="J133" s="73" t="s">
        <v>324</v>
      </c>
      <c r="K133" s="73" t="s">
        <v>325</v>
      </c>
      <c r="L133" s="9">
        <v>2</v>
      </c>
      <c r="M133" s="9"/>
      <c r="N133" s="9"/>
      <c r="O133" s="9"/>
      <c r="P133" s="9"/>
      <c r="Q133" s="9"/>
      <c r="R133" s="9">
        <v>1</v>
      </c>
      <c r="S133" s="9"/>
      <c r="T133" s="9"/>
      <c r="U133" s="9"/>
      <c r="V133" s="9"/>
      <c r="W133" s="9"/>
      <c r="X133" s="9">
        <v>1</v>
      </c>
      <c r="Y133" s="9"/>
      <c r="Z133" s="9"/>
      <c r="AA133" s="26"/>
      <c r="AB133" s="4"/>
      <c r="AC133" s="4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73"/>
      <c r="AQ133" s="9"/>
      <c r="AR133" s="9">
        <f t="shared" si="15"/>
        <v>2</v>
      </c>
      <c r="AS133" s="9">
        <f t="shared" si="12"/>
        <v>0</v>
      </c>
      <c r="AT133" s="51">
        <f t="shared" si="13"/>
        <v>0</v>
      </c>
    </row>
    <row r="134" customHeight="1" spans="1:46">
      <c r="A134" s="4">
        <v>133</v>
      </c>
      <c r="B134" s="4" t="s">
        <v>326</v>
      </c>
      <c r="C134" s="5">
        <v>18671653551</v>
      </c>
      <c r="D134" s="65">
        <v>46122</v>
      </c>
      <c r="E134" s="65">
        <v>46160</v>
      </c>
      <c r="F134" s="4">
        <v>488</v>
      </c>
      <c r="G134" s="4">
        <v>20</v>
      </c>
      <c r="H134" s="66">
        <f t="shared" si="14"/>
        <v>24.4</v>
      </c>
      <c r="I134" s="6" t="s">
        <v>240</v>
      </c>
      <c r="J134" s="6" t="s">
        <v>259</v>
      </c>
      <c r="L134" s="4">
        <v>8</v>
      </c>
      <c r="R134" s="4">
        <v>1</v>
      </c>
      <c r="S134" s="4">
        <v>1</v>
      </c>
      <c r="W134" s="4">
        <v>1</v>
      </c>
      <c r="X134" s="4">
        <v>1</v>
      </c>
      <c r="Y134" s="4">
        <v>1</v>
      </c>
      <c r="Z134" s="4">
        <v>1</v>
      </c>
      <c r="AA134" s="26">
        <v>1</v>
      </c>
      <c r="AP134" s="6"/>
      <c r="AR134" s="4">
        <f t="shared" si="15"/>
        <v>7</v>
      </c>
      <c r="AS134" s="4">
        <f t="shared" si="12"/>
        <v>1</v>
      </c>
      <c r="AT134" s="32">
        <f t="shared" si="13"/>
        <v>24.4</v>
      </c>
    </row>
    <row r="135" s="9" customFormat="1" customHeight="1" spans="1:46">
      <c r="A135" s="4">
        <v>134</v>
      </c>
      <c r="B135" s="9" t="s">
        <v>327</v>
      </c>
      <c r="C135" s="10">
        <v>17771426190</v>
      </c>
      <c r="D135" s="71">
        <v>46122</v>
      </c>
      <c r="E135" s="71">
        <v>46160</v>
      </c>
      <c r="F135" s="9">
        <v>488</v>
      </c>
      <c r="G135" s="9">
        <v>20</v>
      </c>
      <c r="H135" s="72">
        <f t="shared" si="14"/>
        <v>24.4</v>
      </c>
      <c r="I135" s="73" t="s">
        <v>240</v>
      </c>
      <c r="J135" s="73" t="s">
        <v>259</v>
      </c>
      <c r="K135" s="9"/>
      <c r="L135" s="9">
        <v>7</v>
      </c>
      <c r="M135" s="9"/>
      <c r="N135" s="9"/>
      <c r="O135" s="9"/>
      <c r="P135" s="9"/>
      <c r="Q135" s="9"/>
      <c r="R135" s="9">
        <v>2</v>
      </c>
      <c r="S135" s="9">
        <v>2</v>
      </c>
      <c r="T135" s="9">
        <v>1</v>
      </c>
      <c r="U135" s="9">
        <v>2</v>
      </c>
      <c r="V135" s="4"/>
      <c r="W135" s="4"/>
      <c r="X135" s="4"/>
      <c r="Y135" s="4"/>
      <c r="Z135" s="4"/>
      <c r="AA135" s="26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5"/>
      <c r="AQ135" s="5"/>
      <c r="AR135" s="9">
        <f t="shared" si="15"/>
        <v>7</v>
      </c>
      <c r="AS135" s="9">
        <f t="shared" si="12"/>
        <v>0</v>
      </c>
      <c r="AT135" s="51">
        <f t="shared" si="13"/>
        <v>0</v>
      </c>
    </row>
    <row r="136" customHeight="1" spans="1:46">
      <c r="A136" s="4">
        <v>135</v>
      </c>
      <c r="B136" s="4" t="s">
        <v>328</v>
      </c>
      <c r="C136" s="5">
        <v>13550893855</v>
      </c>
      <c r="D136" s="65">
        <v>46122</v>
      </c>
      <c r="E136" s="65">
        <v>46160</v>
      </c>
      <c r="F136" s="4">
        <v>488</v>
      </c>
      <c r="G136" s="4">
        <v>20</v>
      </c>
      <c r="H136" s="66">
        <f t="shared" si="14"/>
        <v>24.4</v>
      </c>
      <c r="I136" s="6" t="s">
        <v>240</v>
      </c>
      <c r="J136" s="6" t="s">
        <v>259</v>
      </c>
      <c r="L136" s="4">
        <v>6</v>
      </c>
      <c r="R136" s="4">
        <v>1</v>
      </c>
      <c r="S136" s="4">
        <v>1</v>
      </c>
      <c r="T136" s="4">
        <v>1</v>
      </c>
      <c r="X136" s="4">
        <v>2</v>
      </c>
      <c r="AP136" s="5"/>
      <c r="AQ136" s="5"/>
      <c r="AR136" s="4">
        <f t="shared" si="15"/>
        <v>5</v>
      </c>
      <c r="AS136" s="4">
        <f t="shared" si="12"/>
        <v>1</v>
      </c>
      <c r="AT136" s="32">
        <f t="shared" si="13"/>
        <v>24.4</v>
      </c>
    </row>
    <row r="137" customHeight="1" spans="1:46">
      <c r="A137" s="4">
        <v>136</v>
      </c>
      <c r="B137" s="4" t="s">
        <v>329</v>
      </c>
      <c r="C137" s="5">
        <v>15107254981</v>
      </c>
      <c r="D137" s="65">
        <v>46122</v>
      </c>
      <c r="E137" s="65">
        <v>46191</v>
      </c>
      <c r="F137" s="4">
        <v>488</v>
      </c>
      <c r="G137" s="4">
        <v>20</v>
      </c>
      <c r="H137" s="66">
        <f t="shared" si="14"/>
        <v>24.4</v>
      </c>
      <c r="I137" s="6" t="s">
        <v>240</v>
      </c>
      <c r="J137" s="6" t="s">
        <v>259</v>
      </c>
      <c r="L137" s="4">
        <v>2</v>
      </c>
      <c r="AP137" s="5"/>
      <c r="AQ137" s="5"/>
      <c r="AR137" s="4">
        <f t="shared" si="15"/>
        <v>0</v>
      </c>
      <c r="AS137" s="4">
        <f t="shared" si="12"/>
        <v>2</v>
      </c>
      <c r="AT137" s="32">
        <f t="shared" si="13"/>
        <v>48.8</v>
      </c>
    </row>
    <row r="138" customHeight="1" spans="1:46">
      <c r="A138" s="4">
        <v>137</v>
      </c>
      <c r="B138" s="4" t="s">
        <v>330</v>
      </c>
      <c r="C138" s="5">
        <v>15079841707</v>
      </c>
      <c r="D138" s="65">
        <v>46122</v>
      </c>
      <c r="E138" s="65">
        <v>46160</v>
      </c>
      <c r="F138" s="4">
        <v>488</v>
      </c>
      <c r="G138" s="4">
        <v>20</v>
      </c>
      <c r="H138" s="66">
        <f t="shared" si="14"/>
        <v>24.4</v>
      </c>
      <c r="I138" s="6" t="s">
        <v>240</v>
      </c>
      <c r="J138" s="6" t="s">
        <v>259</v>
      </c>
      <c r="L138" s="4">
        <v>6</v>
      </c>
      <c r="R138" s="4">
        <v>1</v>
      </c>
      <c r="W138" s="4">
        <v>1</v>
      </c>
      <c r="X138" s="4">
        <v>1</v>
      </c>
      <c r="Y138" s="4">
        <v>1</v>
      </c>
      <c r="Z138" s="4">
        <v>1</v>
      </c>
      <c r="AA138" s="26">
        <v>1</v>
      </c>
      <c r="AP138" s="5"/>
      <c r="AR138" s="4">
        <f t="shared" si="15"/>
        <v>6</v>
      </c>
      <c r="AS138" s="4">
        <f t="shared" si="12"/>
        <v>0</v>
      </c>
      <c r="AT138" s="32">
        <f t="shared" si="13"/>
        <v>0</v>
      </c>
    </row>
    <row r="139" s="4" customFormat="1" customHeight="1" spans="1:46">
      <c r="A139" s="4">
        <v>138</v>
      </c>
      <c r="B139" s="4" t="s">
        <v>331</v>
      </c>
      <c r="C139" s="5">
        <v>18314799349</v>
      </c>
      <c r="D139" s="65">
        <v>46132</v>
      </c>
      <c r="E139" s="92">
        <v>46262</v>
      </c>
      <c r="F139" s="4">
        <v>1145</v>
      </c>
      <c r="G139" s="4">
        <v>50</v>
      </c>
      <c r="H139" s="66">
        <f t="shared" si="14"/>
        <v>22.9</v>
      </c>
      <c r="I139" s="74">
        <v>1145.5</v>
      </c>
      <c r="J139" s="77" t="s">
        <v>332</v>
      </c>
      <c r="K139" s="6" t="s">
        <v>333</v>
      </c>
      <c r="L139" s="4">
        <v>36</v>
      </c>
      <c r="R139" s="4">
        <v>2</v>
      </c>
      <c r="S139" s="4">
        <v>1</v>
      </c>
      <c r="T139" s="4"/>
      <c r="U139" s="4">
        <v>1</v>
      </c>
      <c r="Y139" s="4">
        <v>1</v>
      </c>
      <c r="Z139" s="4"/>
      <c r="AA139" s="26"/>
      <c r="AB139" s="4"/>
      <c r="AC139" s="4"/>
      <c r="AP139" s="5"/>
      <c r="AQ139" s="4"/>
      <c r="AR139" s="4">
        <f t="shared" si="15"/>
        <v>5</v>
      </c>
      <c r="AS139" s="4">
        <f t="shared" si="12"/>
        <v>31</v>
      </c>
      <c r="AT139" s="32">
        <f t="shared" si="13"/>
        <v>709.9</v>
      </c>
    </row>
    <row r="140" customHeight="1" spans="1:46">
      <c r="A140" s="4">
        <v>139</v>
      </c>
      <c r="B140" s="6" t="s">
        <v>334</v>
      </c>
      <c r="C140" s="5">
        <v>17740594192</v>
      </c>
      <c r="D140" s="65">
        <v>46122</v>
      </c>
      <c r="E140" s="65">
        <v>46160</v>
      </c>
      <c r="F140" s="4">
        <v>488</v>
      </c>
      <c r="G140" s="4">
        <v>20</v>
      </c>
      <c r="H140" s="66">
        <f t="shared" si="14"/>
        <v>24.4</v>
      </c>
      <c r="I140" s="6" t="s">
        <v>240</v>
      </c>
      <c r="J140" s="6" t="s">
        <v>259</v>
      </c>
      <c r="L140" s="4">
        <v>11</v>
      </c>
      <c r="R140" s="4">
        <v>1</v>
      </c>
      <c r="S140" s="4">
        <v>1</v>
      </c>
      <c r="U140" s="4">
        <v>1</v>
      </c>
      <c r="Y140" s="4">
        <v>2</v>
      </c>
      <c r="Z140" s="4">
        <v>2</v>
      </c>
      <c r="AA140" s="26">
        <v>2</v>
      </c>
      <c r="AP140" s="6"/>
      <c r="AR140" s="4">
        <f t="shared" si="15"/>
        <v>9</v>
      </c>
      <c r="AS140" s="4">
        <f t="shared" si="12"/>
        <v>2</v>
      </c>
      <c r="AT140" s="32">
        <f t="shared" si="13"/>
        <v>48.8</v>
      </c>
    </row>
    <row r="141" customHeight="1" spans="1:46">
      <c r="A141" s="4">
        <v>140</v>
      </c>
      <c r="B141" s="6" t="s">
        <v>335</v>
      </c>
      <c r="C141" s="5">
        <v>13296522095</v>
      </c>
      <c r="D141" s="65">
        <v>46122</v>
      </c>
      <c r="E141" s="65">
        <v>46160</v>
      </c>
      <c r="F141" s="4">
        <v>488</v>
      </c>
      <c r="G141" s="4">
        <v>20</v>
      </c>
      <c r="H141" s="66">
        <f t="shared" si="14"/>
        <v>24.4</v>
      </c>
      <c r="I141" s="6" t="s">
        <v>240</v>
      </c>
      <c r="J141" s="6" t="s">
        <v>336</v>
      </c>
      <c r="L141" s="4">
        <v>11</v>
      </c>
      <c r="R141" s="4">
        <v>2</v>
      </c>
      <c r="S141" s="4">
        <v>2</v>
      </c>
      <c r="Y141" s="4">
        <v>1</v>
      </c>
      <c r="Z141" s="4">
        <v>2</v>
      </c>
      <c r="AP141" s="5"/>
      <c r="AQ141" s="5"/>
      <c r="AR141" s="4">
        <f t="shared" si="15"/>
        <v>7</v>
      </c>
      <c r="AS141" s="4">
        <f t="shared" si="12"/>
        <v>4</v>
      </c>
      <c r="AT141" s="32">
        <f t="shared" si="13"/>
        <v>97.6</v>
      </c>
    </row>
    <row r="142" s="11" customFormat="1" customHeight="1" spans="1:46">
      <c r="A142" s="4">
        <v>141</v>
      </c>
      <c r="B142" s="11" t="s">
        <v>337</v>
      </c>
      <c r="C142" s="12">
        <v>17638696297</v>
      </c>
      <c r="D142" s="65">
        <v>46120</v>
      </c>
      <c r="E142" s="65">
        <v>46219</v>
      </c>
      <c r="F142" s="11">
        <v>588</v>
      </c>
      <c r="G142" s="11">
        <v>20</v>
      </c>
      <c r="H142" s="68">
        <f t="shared" si="14"/>
        <v>29.4</v>
      </c>
      <c r="I142" s="11" t="s">
        <v>102</v>
      </c>
      <c r="J142" s="6" t="s">
        <v>252</v>
      </c>
      <c r="K142" s="6" t="s">
        <v>338</v>
      </c>
      <c r="L142" s="83">
        <v>5</v>
      </c>
      <c r="M142" s="11"/>
      <c r="N142" s="11"/>
      <c r="O142" s="11"/>
      <c r="P142" s="11"/>
      <c r="Q142" s="11"/>
      <c r="R142" s="4">
        <v>1</v>
      </c>
      <c r="S142" s="4"/>
      <c r="T142" s="4">
        <v>1</v>
      </c>
      <c r="U142" s="4">
        <v>1</v>
      </c>
      <c r="V142" s="4"/>
      <c r="W142" s="4">
        <v>1</v>
      </c>
      <c r="X142" s="11"/>
      <c r="Y142" s="4"/>
      <c r="Z142" s="4"/>
      <c r="AA142" s="26">
        <v>1</v>
      </c>
      <c r="AB142" s="4"/>
      <c r="AC142" s="4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5"/>
      <c r="AQ142" s="11"/>
      <c r="AR142" s="11">
        <f t="shared" si="15"/>
        <v>5</v>
      </c>
      <c r="AS142" s="11">
        <f t="shared" si="12"/>
        <v>0</v>
      </c>
      <c r="AT142" s="81">
        <f t="shared" si="13"/>
        <v>0</v>
      </c>
    </row>
    <row r="143" s="9" customFormat="1" customHeight="1" spans="1:46">
      <c r="A143" s="4">
        <v>142</v>
      </c>
      <c r="B143" s="9" t="s">
        <v>339</v>
      </c>
      <c r="C143" s="10">
        <v>15327284633</v>
      </c>
      <c r="D143" s="71">
        <v>46124</v>
      </c>
      <c r="E143" s="71">
        <v>46162</v>
      </c>
      <c r="F143" s="9">
        <v>488</v>
      </c>
      <c r="G143" s="9">
        <v>20</v>
      </c>
      <c r="H143" s="72">
        <f t="shared" si="14"/>
        <v>24.4</v>
      </c>
      <c r="I143" s="73" t="s">
        <v>240</v>
      </c>
      <c r="J143" s="73" t="s">
        <v>340</v>
      </c>
      <c r="K143" s="73" t="s">
        <v>341</v>
      </c>
      <c r="L143" s="85">
        <v>2</v>
      </c>
      <c r="M143" s="9"/>
      <c r="N143" s="9"/>
      <c r="O143" s="9"/>
      <c r="P143" s="9"/>
      <c r="Q143" s="9"/>
      <c r="R143" s="9">
        <v>1</v>
      </c>
      <c r="S143" s="9">
        <v>1</v>
      </c>
      <c r="T143" s="9"/>
      <c r="U143" s="9"/>
      <c r="V143" s="4"/>
      <c r="W143" s="4"/>
      <c r="X143" s="4"/>
      <c r="Y143" s="4"/>
      <c r="Z143" s="4"/>
      <c r="AA143" s="26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5"/>
      <c r="AQ143" s="5"/>
      <c r="AR143" s="9">
        <f t="shared" si="15"/>
        <v>2</v>
      </c>
      <c r="AS143" s="9">
        <f t="shared" si="12"/>
        <v>0</v>
      </c>
      <c r="AT143" s="51">
        <f t="shared" si="13"/>
        <v>0</v>
      </c>
    </row>
    <row r="144" s="11" customFormat="1" customHeight="1" spans="1:46">
      <c r="A144" s="4">
        <v>143</v>
      </c>
      <c r="B144" s="11" t="s">
        <v>342</v>
      </c>
      <c r="C144" s="12">
        <v>17671720464</v>
      </c>
      <c r="D144" s="65">
        <v>46121</v>
      </c>
      <c r="E144" s="65">
        <v>46220</v>
      </c>
      <c r="F144" s="11">
        <v>488</v>
      </c>
      <c r="G144" s="11">
        <v>20</v>
      </c>
      <c r="H144" s="68">
        <f t="shared" si="14"/>
        <v>24.4</v>
      </c>
      <c r="I144" s="11" t="s">
        <v>240</v>
      </c>
      <c r="J144" s="83" t="s">
        <v>343</v>
      </c>
      <c r="K144" s="6" t="s">
        <v>344</v>
      </c>
      <c r="L144" s="91">
        <v>11</v>
      </c>
      <c r="M144" s="11"/>
      <c r="N144" s="11"/>
      <c r="O144" s="11"/>
      <c r="P144" s="11"/>
      <c r="Q144" s="11"/>
      <c r="R144" s="4">
        <v>1</v>
      </c>
      <c r="S144" s="11">
        <v>1</v>
      </c>
      <c r="T144" s="4">
        <v>1</v>
      </c>
      <c r="U144" s="4">
        <v>1</v>
      </c>
      <c r="V144" s="4"/>
      <c r="W144" s="4"/>
      <c r="X144" s="11"/>
      <c r="Y144" s="4"/>
      <c r="Z144" s="4"/>
      <c r="AA144" s="26"/>
      <c r="AB144" s="4"/>
      <c r="AC144" s="4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5"/>
      <c r="AQ144" s="11"/>
      <c r="AR144" s="11">
        <f t="shared" si="15"/>
        <v>4</v>
      </c>
      <c r="AS144" s="11">
        <f t="shared" si="12"/>
        <v>7</v>
      </c>
      <c r="AT144" s="81">
        <f t="shared" si="13"/>
        <v>170.8</v>
      </c>
    </row>
    <row r="145" customHeight="1" spans="1:46">
      <c r="A145" s="4">
        <v>144</v>
      </c>
      <c r="B145" s="4" t="s">
        <v>345</v>
      </c>
      <c r="C145" s="5">
        <v>18571734930</v>
      </c>
      <c r="D145" s="65">
        <v>46122</v>
      </c>
      <c r="E145" s="65">
        <v>46221</v>
      </c>
      <c r="F145" s="4">
        <v>788</v>
      </c>
      <c r="G145" s="4">
        <v>30</v>
      </c>
      <c r="H145" s="68">
        <f t="shared" si="14"/>
        <v>26.2666666666667</v>
      </c>
      <c r="I145" s="74">
        <v>788.3</v>
      </c>
      <c r="J145" s="6" t="s">
        <v>346</v>
      </c>
      <c r="L145" s="4">
        <v>6</v>
      </c>
      <c r="X145" s="4">
        <v>2</v>
      </c>
      <c r="AP145" s="5"/>
      <c r="AR145" s="4">
        <f t="shared" si="15"/>
        <v>2</v>
      </c>
      <c r="AS145" s="4">
        <f t="shared" si="12"/>
        <v>4</v>
      </c>
      <c r="AT145" s="32">
        <f t="shared" si="13"/>
        <v>105.066666666667</v>
      </c>
    </row>
    <row r="146" customHeight="1" spans="1:46">
      <c r="A146" s="4">
        <v>145</v>
      </c>
      <c r="B146" s="4" t="s">
        <v>347</v>
      </c>
      <c r="C146" s="5">
        <v>19821488351</v>
      </c>
      <c r="D146" s="65">
        <v>46122</v>
      </c>
      <c r="E146" s="65">
        <v>46191</v>
      </c>
      <c r="F146" s="11">
        <v>488</v>
      </c>
      <c r="G146" s="11">
        <v>20</v>
      </c>
      <c r="H146" s="68">
        <f t="shared" si="14"/>
        <v>24.4</v>
      </c>
      <c r="I146" s="11" t="s">
        <v>240</v>
      </c>
      <c r="J146" s="6" t="s">
        <v>336</v>
      </c>
      <c r="L146" s="4">
        <v>9</v>
      </c>
      <c r="S146" s="4">
        <v>2</v>
      </c>
      <c r="U146" s="4">
        <v>2</v>
      </c>
      <c r="W146" s="4">
        <v>2</v>
      </c>
      <c r="AP146" s="5"/>
      <c r="AQ146" s="5"/>
      <c r="AR146" s="4">
        <f t="shared" si="15"/>
        <v>6</v>
      </c>
      <c r="AS146" s="4">
        <f t="shared" si="12"/>
        <v>3</v>
      </c>
      <c r="AT146" s="32">
        <f t="shared" si="13"/>
        <v>73.2</v>
      </c>
    </row>
    <row r="147" customHeight="1" spans="1:46">
      <c r="A147" s="4">
        <v>146</v>
      </c>
      <c r="B147" s="4" t="s">
        <v>348</v>
      </c>
      <c r="C147" s="5">
        <v>13971604069</v>
      </c>
      <c r="D147" s="65">
        <v>46132</v>
      </c>
      <c r="E147" s="65">
        <v>46170</v>
      </c>
      <c r="F147" s="11">
        <v>488</v>
      </c>
      <c r="G147" s="11">
        <v>20</v>
      </c>
      <c r="H147" s="68">
        <f t="shared" si="14"/>
        <v>24.4</v>
      </c>
      <c r="I147" s="11" t="s">
        <v>240</v>
      </c>
      <c r="J147" s="6" t="s">
        <v>349</v>
      </c>
      <c r="L147" s="4">
        <v>13</v>
      </c>
      <c r="R147" s="4">
        <v>1</v>
      </c>
      <c r="S147" s="4">
        <v>1</v>
      </c>
      <c r="T147" s="4">
        <v>1</v>
      </c>
      <c r="W147" s="4">
        <v>1</v>
      </c>
      <c r="X147" s="4">
        <v>1</v>
      </c>
      <c r="Y147" s="4">
        <v>1</v>
      </c>
      <c r="Z147" s="4">
        <v>1</v>
      </c>
      <c r="AA147" s="26">
        <v>1</v>
      </c>
      <c r="AP147" s="5"/>
      <c r="AR147" s="4">
        <f t="shared" si="15"/>
        <v>8</v>
      </c>
      <c r="AS147" s="4">
        <f t="shared" si="12"/>
        <v>5</v>
      </c>
      <c r="AT147" s="32">
        <f t="shared" si="13"/>
        <v>122</v>
      </c>
    </row>
    <row r="148" customHeight="1" spans="1:46">
      <c r="A148" s="4">
        <v>147</v>
      </c>
      <c r="B148" s="4" t="s">
        <v>350</v>
      </c>
      <c r="C148" s="5">
        <v>19945054600</v>
      </c>
      <c r="D148" s="65">
        <v>46122</v>
      </c>
      <c r="E148" s="65">
        <v>46160</v>
      </c>
      <c r="F148" s="11">
        <v>488</v>
      </c>
      <c r="G148" s="11">
        <v>20</v>
      </c>
      <c r="H148" s="68">
        <f t="shared" si="14"/>
        <v>24.4</v>
      </c>
      <c r="I148" s="11" t="s">
        <v>240</v>
      </c>
      <c r="J148" s="6" t="s">
        <v>336</v>
      </c>
      <c r="L148" s="4">
        <v>14</v>
      </c>
      <c r="AP148" s="6"/>
      <c r="AR148" s="4">
        <f t="shared" ref="AR148:AR189" si="16">SUM(M148:AQ148)</f>
        <v>0</v>
      </c>
      <c r="AS148" s="4">
        <f t="shared" ref="AS148:AS194" si="17">L148-AR148</f>
        <v>14</v>
      </c>
      <c r="AT148" s="32">
        <f t="shared" ref="AT148:AT194" si="18">AS148*H148</f>
        <v>341.6</v>
      </c>
    </row>
    <row r="149" customHeight="1" spans="1:46">
      <c r="A149" s="4">
        <v>148</v>
      </c>
      <c r="B149" s="4" t="s">
        <v>351</v>
      </c>
      <c r="C149" s="5">
        <v>18986849856</v>
      </c>
      <c r="D149" s="65">
        <v>46135</v>
      </c>
      <c r="E149" s="65">
        <v>46173</v>
      </c>
      <c r="F149" s="4">
        <v>488</v>
      </c>
      <c r="G149" s="4">
        <v>20</v>
      </c>
      <c r="H149" s="66">
        <f t="shared" si="14"/>
        <v>24.4</v>
      </c>
      <c r="I149" s="6" t="s">
        <v>240</v>
      </c>
      <c r="J149" s="6" t="s">
        <v>290</v>
      </c>
      <c r="K149" s="6" t="s">
        <v>352</v>
      </c>
      <c r="L149" s="75">
        <v>15</v>
      </c>
      <c r="W149" s="4">
        <v>1</v>
      </c>
      <c r="X149" s="4">
        <v>1</v>
      </c>
      <c r="Y149" s="4">
        <v>1</v>
      </c>
      <c r="AA149" s="26">
        <v>1</v>
      </c>
      <c r="AP149" s="6"/>
      <c r="AR149" s="4">
        <f t="shared" si="16"/>
        <v>4</v>
      </c>
      <c r="AS149" s="4">
        <f t="shared" si="17"/>
        <v>11</v>
      </c>
      <c r="AT149" s="32">
        <f t="shared" si="18"/>
        <v>268.4</v>
      </c>
    </row>
    <row r="150" customHeight="1" spans="1:46">
      <c r="A150" s="4">
        <v>149</v>
      </c>
      <c r="B150" s="4" t="s">
        <v>353</v>
      </c>
      <c r="C150" s="5">
        <v>18672934391</v>
      </c>
      <c r="D150" s="65">
        <v>46157</v>
      </c>
      <c r="E150" s="65">
        <v>46188</v>
      </c>
      <c r="F150" s="11">
        <v>488</v>
      </c>
      <c r="G150" s="11">
        <v>20</v>
      </c>
      <c r="H150" s="68">
        <f t="shared" si="14"/>
        <v>24.4</v>
      </c>
      <c r="I150" s="11" t="s">
        <v>240</v>
      </c>
      <c r="J150" s="6" t="s">
        <v>354</v>
      </c>
      <c r="L150" s="4">
        <v>12</v>
      </c>
      <c r="T150" s="4">
        <v>1</v>
      </c>
      <c r="U150" s="4">
        <v>1</v>
      </c>
      <c r="Z150" s="4">
        <v>1</v>
      </c>
      <c r="AA150" s="26">
        <v>1</v>
      </c>
      <c r="AP150" s="5"/>
      <c r="AR150" s="4">
        <f t="shared" si="16"/>
        <v>4</v>
      </c>
      <c r="AS150" s="4">
        <f t="shared" si="17"/>
        <v>8</v>
      </c>
      <c r="AT150" s="32">
        <f t="shared" si="18"/>
        <v>195.2</v>
      </c>
    </row>
    <row r="151" customHeight="1" spans="1:46">
      <c r="A151" s="4">
        <v>150</v>
      </c>
      <c r="B151" s="4" t="s">
        <v>355</v>
      </c>
      <c r="C151" s="5">
        <v>18672118607</v>
      </c>
      <c r="D151" s="65">
        <v>46124</v>
      </c>
      <c r="E151" s="65">
        <v>46162</v>
      </c>
      <c r="F151" s="11">
        <v>488</v>
      </c>
      <c r="G151" s="11">
        <v>20</v>
      </c>
      <c r="H151" s="68">
        <f t="shared" si="14"/>
        <v>24.4</v>
      </c>
      <c r="I151" s="11" t="s">
        <v>240</v>
      </c>
      <c r="J151" s="6" t="s">
        <v>341</v>
      </c>
      <c r="L151" s="4">
        <v>8</v>
      </c>
      <c r="S151" s="4">
        <v>1</v>
      </c>
      <c r="T151" s="4">
        <v>1</v>
      </c>
      <c r="X151" s="4">
        <v>1</v>
      </c>
      <c r="AP151" s="6"/>
      <c r="AR151" s="4">
        <f t="shared" si="16"/>
        <v>3</v>
      </c>
      <c r="AS151" s="4">
        <f t="shared" si="17"/>
        <v>5</v>
      </c>
      <c r="AT151" s="32">
        <f t="shared" si="18"/>
        <v>122</v>
      </c>
    </row>
    <row r="152" customHeight="1" spans="1:46">
      <c r="A152" s="4">
        <v>151</v>
      </c>
      <c r="B152" s="4" t="s">
        <v>356</v>
      </c>
      <c r="C152" s="5">
        <v>13971954577</v>
      </c>
      <c r="D152" s="65">
        <v>46149</v>
      </c>
      <c r="E152" s="65">
        <v>46180</v>
      </c>
      <c r="F152" s="4">
        <v>488</v>
      </c>
      <c r="G152" s="4">
        <v>20</v>
      </c>
      <c r="H152" s="66">
        <f t="shared" si="14"/>
        <v>24.4</v>
      </c>
      <c r="I152" s="6" t="s">
        <v>240</v>
      </c>
      <c r="J152" s="6" t="s">
        <v>259</v>
      </c>
      <c r="K152" s="6" t="s">
        <v>357</v>
      </c>
      <c r="L152" s="4">
        <v>22</v>
      </c>
      <c r="R152" s="4">
        <v>2</v>
      </c>
      <c r="S152" s="4">
        <v>2</v>
      </c>
      <c r="T152" s="4">
        <v>2</v>
      </c>
      <c r="U152" s="4">
        <v>2</v>
      </c>
      <c r="W152" s="4">
        <v>2</v>
      </c>
      <c r="X152" s="4">
        <v>2</v>
      </c>
      <c r="Y152" s="4">
        <v>3</v>
      </c>
      <c r="Z152" s="4">
        <v>2</v>
      </c>
      <c r="AA152" s="26">
        <v>2</v>
      </c>
      <c r="AP152" s="6"/>
      <c r="AR152" s="4">
        <f t="shared" si="16"/>
        <v>19</v>
      </c>
      <c r="AS152" s="4">
        <f t="shared" si="17"/>
        <v>3</v>
      </c>
      <c r="AT152" s="32">
        <f t="shared" si="18"/>
        <v>73.2</v>
      </c>
    </row>
    <row r="153" customHeight="1" spans="1:46">
      <c r="A153" s="4">
        <v>152</v>
      </c>
      <c r="B153" s="4" t="s">
        <v>358</v>
      </c>
      <c r="C153" s="5">
        <v>15623872189</v>
      </c>
      <c r="D153" s="65">
        <v>46124</v>
      </c>
      <c r="E153" s="65">
        <v>46162</v>
      </c>
      <c r="F153" s="11">
        <v>488</v>
      </c>
      <c r="G153" s="11">
        <v>20</v>
      </c>
      <c r="H153" s="68">
        <f t="shared" si="14"/>
        <v>24.4</v>
      </c>
      <c r="I153" s="11" t="s">
        <v>240</v>
      </c>
      <c r="J153" s="6" t="s">
        <v>341</v>
      </c>
      <c r="L153" s="4">
        <v>12</v>
      </c>
      <c r="R153" s="4">
        <v>1</v>
      </c>
      <c r="S153" s="4">
        <v>1</v>
      </c>
      <c r="T153" s="4">
        <v>2</v>
      </c>
      <c r="W153" s="4">
        <v>2</v>
      </c>
      <c r="X153" s="4">
        <v>1</v>
      </c>
      <c r="Y153" s="4">
        <v>1</v>
      </c>
      <c r="AP153" s="6"/>
      <c r="AR153" s="4">
        <f t="shared" si="16"/>
        <v>8</v>
      </c>
      <c r="AS153" s="4">
        <f t="shared" si="17"/>
        <v>4</v>
      </c>
      <c r="AT153" s="32">
        <f t="shared" si="18"/>
        <v>97.6</v>
      </c>
    </row>
    <row r="154" customHeight="1" spans="1:46">
      <c r="A154" s="4">
        <v>153</v>
      </c>
      <c r="B154" s="4" t="s">
        <v>359</v>
      </c>
      <c r="C154" s="5">
        <v>15697281898</v>
      </c>
      <c r="D154" s="65">
        <v>46124</v>
      </c>
      <c r="E154" s="65">
        <v>46162</v>
      </c>
      <c r="F154" s="11">
        <v>488</v>
      </c>
      <c r="G154" s="11">
        <v>20</v>
      </c>
      <c r="H154" s="68">
        <f t="shared" si="14"/>
        <v>24.4</v>
      </c>
      <c r="I154" s="11" t="s">
        <v>240</v>
      </c>
      <c r="J154" s="6" t="s">
        <v>341</v>
      </c>
      <c r="L154" s="4">
        <v>6</v>
      </c>
      <c r="U154" s="4">
        <v>1</v>
      </c>
      <c r="W154" s="4">
        <v>1</v>
      </c>
      <c r="X154" s="4">
        <v>1</v>
      </c>
      <c r="Y154" s="4">
        <v>1</v>
      </c>
      <c r="Z154" s="4">
        <v>1</v>
      </c>
      <c r="AA154" s="26">
        <v>1</v>
      </c>
      <c r="AM154" s="6"/>
      <c r="AP154" s="5"/>
      <c r="AR154" s="4">
        <f t="shared" si="16"/>
        <v>6</v>
      </c>
      <c r="AS154" s="4">
        <f t="shared" si="17"/>
        <v>0</v>
      </c>
      <c r="AT154" s="32">
        <f t="shared" si="18"/>
        <v>0</v>
      </c>
    </row>
    <row r="155" customHeight="1" spans="1:46">
      <c r="A155" s="4">
        <v>154</v>
      </c>
      <c r="B155" s="4" t="s">
        <v>360</v>
      </c>
      <c r="C155" s="5">
        <v>19972480747</v>
      </c>
      <c r="D155" s="65">
        <v>46124</v>
      </c>
      <c r="E155" s="65">
        <v>46162</v>
      </c>
      <c r="F155" s="11">
        <v>488</v>
      </c>
      <c r="G155" s="11">
        <v>20</v>
      </c>
      <c r="H155" s="68">
        <f t="shared" ref="H155:H218" si="19">F155/G155</f>
        <v>24.4</v>
      </c>
      <c r="I155" s="11" t="s">
        <v>240</v>
      </c>
      <c r="J155" s="6" t="s">
        <v>341</v>
      </c>
      <c r="L155" s="4">
        <v>11</v>
      </c>
      <c r="R155" s="4">
        <v>1</v>
      </c>
      <c r="S155" s="4">
        <v>2</v>
      </c>
      <c r="T155" s="4">
        <v>1</v>
      </c>
      <c r="U155" s="4">
        <v>1</v>
      </c>
      <c r="X155" s="4">
        <v>1</v>
      </c>
      <c r="Y155" s="4">
        <v>1</v>
      </c>
      <c r="Z155" s="4">
        <v>1</v>
      </c>
      <c r="AA155" s="26">
        <v>2</v>
      </c>
      <c r="AP155" s="5"/>
      <c r="AR155" s="4">
        <f t="shared" si="16"/>
        <v>10</v>
      </c>
      <c r="AS155" s="4">
        <f t="shared" si="17"/>
        <v>1</v>
      </c>
      <c r="AT155" s="32">
        <f t="shared" si="18"/>
        <v>24.4</v>
      </c>
    </row>
    <row r="156" customHeight="1" spans="1:46">
      <c r="A156" s="4">
        <v>155</v>
      </c>
      <c r="B156" s="4" t="s">
        <v>361</v>
      </c>
      <c r="C156" s="5">
        <v>13264675330</v>
      </c>
      <c r="D156" s="65">
        <v>46124</v>
      </c>
      <c r="E156" s="65">
        <v>46162</v>
      </c>
      <c r="F156" s="11">
        <v>488</v>
      </c>
      <c r="G156" s="11">
        <v>20</v>
      </c>
      <c r="H156" s="68">
        <f t="shared" si="19"/>
        <v>24.4</v>
      </c>
      <c r="I156" s="11" t="s">
        <v>240</v>
      </c>
      <c r="J156" s="6" t="s">
        <v>341</v>
      </c>
      <c r="L156" s="4">
        <v>7</v>
      </c>
      <c r="U156" s="4">
        <v>1</v>
      </c>
      <c r="W156" s="4">
        <v>2</v>
      </c>
      <c r="Z156" s="4">
        <v>1</v>
      </c>
      <c r="AA156" s="26">
        <v>2</v>
      </c>
      <c r="AP156" s="5"/>
      <c r="AR156" s="4">
        <f t="shared" si="16"/>
        <v>6</v>
      </c>
      <c r="AS156" s="4">
        <f t="shared" si="17"/>
        <v>1</v>
      </c>
      <c r="AT156" s="32">
        <f t="shared" si="18"/>
        <v>24.4</v>
      </c>
    </row>
    <row r="157" s="9" customFormat="1" customHeight="1" spans="1:46">
      <c r="A157" s="4">
        <v>156</v>
      </c>
      <c r="B157" s="9" t="s">
        <v>362</v>
      </c>
      <c r="C157" s="10">
        <v>17365922373</v>
      </c>
      <c r="D157" s="71">
        <v>46124</v>
      </c>
      <c r="E157" s="71">
        <v>46162</v>
      </c>
      <c r="F157" s="9">
        <v>299</v>
      </c>
      <c r="G157" s="9">
        <v>9</v>
      </c>
      <c r="H157" s="72">
        <f t="shared" si="19"/>
        <v>33.2222222222222</v>
      </c>
      <c r="I157" s="73" t="s">
        <v>267</v>
      </c>
      <c r="J157" s="73" t="s">
        <v>363</v>
      </c>
      <c r="K157" s="9"/>
      <c r="L157" s="9">
        <v>3</v>
      </c>
      <c r="M157" s="9"/>
      <c r="N157" s="9"/>
      <c r="O157" s="9"/>
      <c r="P157" s="9"/>
      <c r="Q157" s="9"/>
      <c r="R157" s="9"/>
      <c r="S157" s="9"/>
      <c r="T157" s="9">
        <v>1</v>
      </c>
      <c r="U157" s="9">
        <v>1</v>
      </c>
      <c r="V157" s="9"/>
      <c r="W157" s="9"/>
      <c r="X157" s="9"/>
      <c r="Y157" s="9">
        <v>1</v>
      </c>
      <c r="Z157" s="4"/>
      <c r="AA157" s="26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6"/>
      <c r="AQ157" s="4"/>
      <c r="AR157" s="9">
        <f t="shared" si="16"/>
        <v>3</v>
      </c>
      <c r="AS157" s="9">
        <f t="shared" si="17"/>
        <v>0</v>
      </c>
      <c r="AT157" s="51">
        <f t="shared" si="18"/>
        <v>0</v>
      </c>
    </row>
    <row r="158" s="9" customFormat="1" customHeight="1" spans="1:46">
      <c r="A158" s="4">
        <v>157</v>
      </c>
      <c r="B158" s="9" t="s">
        <v>364</v>
      </c>
      <c r="C158" s="10">
        <v>13335174750</v>
      </c>
      <c r="D158" s="71">
        <v>46124</v>
      </c>
      <c r="E158" s="71">
        <v>46162</v>
      </c>
      <c r="F158" s="9">
        <v>488</v>
      </c>
      <c r="G158" s="9">
        <v>20</v>
      </c>
      <c r="H158" s="72">
        <f t="shared" si="19"/>
        <v>24.4</v>
      </c>
      <c r="I158" s="9" t="s">
        <v>240</v>
      </c>
      <c r="J158" s="73" t="s">
        <v>341</v>
      </c>
      <c r="K158" s="9"/>
      <c r="L158" s="9">
        <v>2</v>
      </c>
      <c r="M158" s="9"/>
      <c r="N158" s="9"/>
      <c r="O158" s="9"/>
      <c r="P158" s="9"/>
      <c r="Q158" s="9"/>
      <c r="R158" s="9">
        <v>2</v>
      </c>
      <c r="S158" s="9"/>
      <c r="T158" s="9"/>
      <c r="U158" s="9"/>
      <c r="V158" s="4"/>
      <c r="W158" s="4"/>
      <c r="X158" s="4"/>
      <c r="Y158" s="4"/>
      <c r="Z158" s="4"/>
      <c r="AA158" s="26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6"/>
      <c r="AQ158" s="4"/>
      <c r="AR158" s="9">
        <f t="shared" si="16"/>
        <v>2</v>
      </c>
      <c r="AS158" s="9">
        <f t="shared" si="17"/>
        <v>0</v>
      </c>
      <c r="AT158" s="51">
        <f t="shared" si="18"/>
        <v>0</v>
      </c>
    </row>
    <row r="159" customHeight="1" spans="1:46">
      <c r="A159" s="4">
        <v>158</v>
      </c>
      <c r="B159" s="6" t="s">
        <v>365</v>
      </c>
      <c r="C159" s="5">
        <v>13227237620</v>
      </c>
      <c r="D159" s="65">
        <v>46126</v>
      </c>
      <c r="E159" s="65">
        <v>46164</v>
      </c>
      <c r="F159" s="11">
        <v>488</v>
      </c>
      <c r="G159" s="11">
        <v>20</v>
      </c>
      <c r="H159" s="68">
        <f t="shared" si="19"/>
        <v>24.4</v>
      </c>
      <c r="I159" s="11" t="s">
        <v>240</v>
      </c>
      <c r="J159" s="6" t="s">
        <v>366</v>
      </c>
      <c r="L159" s="4">
        <v>12</v>
      </c>
      <c r="R159" s="4">
        <v>1</v>
      </c>
      <c r="X159" s="4">
        <v>2</v>
      </c>
      <c r="Y159" s="4">
        <v>2</v>
      </c>
      <c r="AA159" s="26">
        <v>1</v>
      </c>
      <c r="AP159" s="6"/>
      <c r="AR159" s="4">
        <f t="shared" si="16"/>
        <v>6</v>
      </c>
      <c r="AS159" s="4">
        <f t="shared" si="17"/>
        <v>6</v>
      </c>
      <c r="AT159" s="32">
        <f t="shared" si="18"/>
        <v>146.4</v>
      </c>
    </row>
    <row r="160" customHeight="1" spans="1:46">
      <c r="A160" s="4">
        <v>159</v>
      </c>
      <c r="B160" s="4" t="s">
        <v>367</v>
      </c>
      <c r="C160" s="5">
        <v>15171419106</v>
      </c>
      <c r="D160" s="65">
        <v>46126</v>
      </c>
      <c r="E160" s="65">
        <v>46164</v>
      </c>
      <c r="F160" s="11">
        <v>488</v>
      </c>
      <c r="G160" s="11">
        <v>20</v>
      </c>
      <c r="H160" s="68">
        <f t="shared" si="19"/>
        <v>24.4</v>
      </c>
      <c r="I160" s="11" t="s">
        <v>240</v>
      </c>
      <c r="J160" s="6" t="s">
        <v>366</v>
      </c>
      <c r="L160" s="4">
        <v>11</v>
      </c>
      <c r="S160" s="4">
        <v>1</v>
      </c>
      <c r="T160" s="4">
        <v>1</v>
      </c>
      <c r="U160" s="4">
        <v>1</v>
      </c>
      <c r="W160" s="4">
        <v>1</v>
      </c>
      <c r="Y160" s="4">
        <v>1</v>
      </c>
      <c r="AP160" s="6"/>
      <c r="AR160" s="4">
        <f t="shared" si="16"/>
        <v>5</v>
      </c>
      <c r="AS160" s="4">
        <f t="shared" si="17"/>
        <v>6</v>
      </c>
      <c r="AT160" s="32">
        <f t="shared" si="18"/>
        <v>146.4</v>
      </c>
    </row>
    <row r="161" customHeight="1" spans="1:48">
      <c r="A161" s="4">
        <v>160</v>
      </c>
      <c r="B161" s="4" t="s">
        <v>368</v>
      </c>
      <c r="C161" s="5">
        <v>18257793343</v>
      </c>
      <c r="D161" s="65">
        <v>46126</v>
      </c>
      <c r="E161" s="65">
        <v>46164</v>
      </c>
      <c r="F161" s="11">
        <v>488</v>
      </c>
      <c r="G161" s="11">
        <v>20</v>
      </c>
      <c r="H161" s="68">
        <f t="shared" si="19"/>
        <v>24.4</v>
      </c>
      <c r="I161" s="11" t="s">
        <v>240</v>
      </c>
      <c r="J161" s="6" t="s">
        <v>366</v>
      </c>
      <c r="L161" s="4">
        <v>6</v>
      </c>
      <c r="S161" s="4">
        <v>1</v>
      </c>
      <c r="X161" s="4">
        <v>2</v>
      </c>
      <c r="Z161" s="4">
        <v>1</v>
      </c>
      <c r="AP161" s="5"/>
      <c r="AQ161" s="5"/>
      <c r="AR161" s="4">
        <f t="shared" si="16"/>
        <v>4</v>
      </c>
      <c r="AS161" s="4">
        <f t="shared" si="17"/>
        <v>2</v>
      </c>
      <c r="AT161" s="32">
        <f t="shared" si="18"/>
        <v>48.8</v>
      </c>
    </row>
    <row r="162" s="9" customFormat="1" customHeight="1" spans="1:48">
      <c r="A162" s="4">
        <v>161</v>
      </c>
      <c r="B162" s="9" t="s">
        <v>369</v>
      </c>
      <c r="C162" s="10">
        <v>18790476342</v>
      </c>
      <c r="D162" s="71">
        <v>46126</v>
      </c>
      <c r="E162" s="71">
        <v>46164</v>
      </c>
      <c r="F162" s="9">
        <v>488</v>
      </c>
      <c r="G162" s="9">
        <v>20</v>
      </c>
      <c r="H162" s="72">
        <f t="shared" si="19"/>
        <v>24.4</v>
      </c>
      <c r="I162" s="9" t="s">
        <v>240</v>
      </c>
      <c r="J162" s="73" t="s">
        <v>366</v>
      </c>
      <c r="K162" s="9"/>
      <c r="L162" s="9">
        <v>2</v>
      </c>
      <c r="M162" s="9"/>
      <c r="N162" s="9"/>
      <c r="O162" s="9"/>
      <c r="P162" s="9"/>
      <c r="Q162" s="9"/>
      <c r="R162" s="9">
        <v>1</v>
      </c>
      <c r="S162" s="9">
        <v>1</v>
      </c>
      <c r="T162" s="9"/>
      <c r="U162" s="9"/>
      <c r="V162" s="4"/>
      <c r="W162" s="4"/>
      <c r="X162" s="4"/>
      <c r="Y162" s="4"/>
      <c r="Z162" s="4"/>
      <c r="AA162" s="26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5"/>
      <c r="AQ162" s="5"/>
      <c r="AR162" s="9">
        <f t="shared" si="16"/>
        <v>2</v>
      </c>
      <c r="AS162" s="9">
        <f t="shared" si="17"/>
        <v>0</v>
      </c>
      <c r="AT162" s="51">
        <f t="shared" si="18"/>
        <v>0</v>
      </c>
    </row>
    <row r="163" customHeight="1" spans="1:48">
      <c r="A163" s="4">
        <v>162</v>
      </c>
      <c r="B163" s="4" t="s">
        <v>370</v>
      </c>
      <c r="C163" s="5">
        <v>15571513730</v>
      </c>
      <c r="D163" s="65">
        <v>46126</v>
      </c>
      <c r="E163" s="65">
        <v>46225</v>
      </c>
      <c r="F163" s="4">
        <v>788</v>
      </c>
      <c r="G163" s="4">
        <v>30</v>
      </c>
      <c r="H163" s="68">
        <f t="shared" si="19"/>
        <v>26.2666666666667</v>
      </c>
      <c r="I163" s="74">
        <v>788.3</v>
      </c>
      <c r="J163" s="6" t="s">
        <v>371</v>
      </c>
      <c r="L163" s="4">
        <v>21</v>
      </c>
      <c r="AP163" s="6"/>
      <c r="AR163" s="4">
        <f t="shared" si="16"/>
        <v>0</v>
      </c>
      <c r="AS163" s="4">
        <f t="shared" si="17"/>
        <v>21</v>
      </c>
      <c r="AT163" s="32">
        <f t="shared" si="18"/>
        <v>551.600000000001</v>
      </c>
    </row>
    <row r="164" s="11" customFormat="1" customHeight="1" spans="1:48">
      <c r="A164" s="4">
        <v>163</v>
      </c>
      <c r="B164" s="11" t="s">
        <v>372</v>
      </c>
      <c r="C164" s="12">
        <v>13476804545</v>
      </c>
      <c r="D164" s="65">
        <v>46124</v>
      </c>
      <c r="E164" s="65">
        <v>46223</v>
      </c>
      <c r="F164" s="11">
        <v>999</v>
      </c>
      <c r="G164" s="11">
        <v>42</v>
      </c>
      <c r="H164" s="68">
        <f t="shared" si="19"/>
        <v>23.7857142857143</v>
      </c>
      <c r="I164" s="11" t="s">
        <v>130</v>
      </c>
      <c r="J164" s="11" t="s">
        <v>373</v>
      </c>
      <c r="K164" s="6" t="s">
        <v>374</v>
      </c>
      <c r="L164" s="69">
        <v>18</v>
      </c>
      <c r="M164" s="11"/>
      <c r="N164" s="11"/>
      <c r="O164" s="11"/>
      <c r="P164" s="11"/>
      <c r="Q164" s="11"/>
      <c r="R164" s="4">
        <v>2</v>
      </c>
      <c r="S164" s="4">
        <v>2</v>
      </c>
      <c r="T164" s="4">
        <v>2</v>
      </c>
      <c r="U164" s="4">
        <v>2</v>
      </c>
      <c r="V164" s="4"/>
      <c r="W164" s="4">
        <v>2</v>
      </c>
      <c r="X164" s="4">
        <v>2</v>
      </c>
      <c r="Y164" s="4">
        <v>2</v>
      </c>
      <c r="Z164" s="4">
        <v>2</v>
      </c>
      <c r="AA164" s="26"/>
      <c r="AB164" s="4"/>
      <c r="AC164" s="4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5"/>
      <c r="AQ164" s="5"/>
      <c r="AR164" s="11">
        <f t="shared" si="16"/>
        <v>16</v>
      </c>
      <c r="AS164" s="11">
        <f t="shared" si="17"/>
        <v>2</v>
      </c>
      <c r="AT164" s="81">
        <f t="shared" si="18"/>
        <v>47.5714285714286</v>
      </c>
      <c r="AU164" s="4"/>
    </row>
    <row r="165" customHeight="1" spans="1:48">
      <c r="A165" s="4">
        <v>164</v>
      </c>
      <c r="B165" s="4" t="s">
        <v>375</v>
      </c>
      <c r="C165" s="5">
        <v>15907158465</v>
      </c>
      <c r="D165" s="65">
        <v>46130</v>
      </c>
      <c r="E165" s="65">
        <v>46168</v>
      </c>
      <c r="F165" s="11">
        <v>488</v>
      </c>
      <c r="G165" s="11">
        <v>20</v>
      </c>
      <c r="H165" s="68">
        <f t="shared" si="19"/>
        <v>24.4</v>
      </c>
      <c r="I165" s="11" t="s">
        <v>240</v>
      </c>
      <c r="J165" s="6" t="s">
        <v>376</v>
      </c>
      <c r="L165" s="4">
        <v>8</v>
      </c>
      <c r="S165" s="4">
        <v>1</v>
      </c>
      <c r="T165" s="4">
        <v>1</v>
      </c>
      <c r="W165" s="4">
        <v>1</v>
      </c>
      <c r="Y165" s="4">
        <v>1</v>
      </c>
      <c r="Z165" s="4">
        <v>1</v>
      </c>
      <c r="AA165" s="26">
        <v>1</v>
      </c>
      <c r="AP165" s="6"/>
      <c r="AR165" s="4">
        <f t="shared" si="16"/>
        <v>6</v>
      </c>
      <c r="AS165" s="4">
        <f t="shared" si="17"/>
        <v>2</v>
      </c>
      <c r="AT165" s="32">
        <f t="shared" si="18"/>
        <v>48.8</v>
      </c>
    </row>
    <row r="166" customHeight="1" spans="1:48">
      <c r="A166" s="4">
        <v>165</v>
      </c>
      <c r="B166" s="4" t="s">
        <v>377</v>
      </c>
      <c r="C166" s="5">
        <v>15027110579</v>
      </c>
      <c r="D166" s="65">
        <v>46125</v>
      </c>
      <c r="E166" s="65">
        <v>46163</v>
      </c>
      <c r="F166" s="11">
        <v>488</v>
      </c>
      <c r="G166" s="11">
        <v>20</v>
      </c>
      <c r="H166" s="68">
        <f t="shared" si="19"/>
        <v>24.4</v>
      </c>
      <c r="I166" s="11" t="s">
        <v>240</v>
      </c>
      <c r="J166" s="6" t="s">
        <v>378</v>
      </c>
      <c r="L166" s="4">
        <v>9</v>
      </c>
      <c r="S166" s="4">
        <v>2</v>
      </c>
      <c r="W166" s="4">
        <v>1</v>
      </c>
      <c r="X166" s="4">
        <v>1</v>
      </c>
      <c r="AA166" s="26">
        <v>2</v>
      </c>
      <c r="AP166" s="6"/>
      <c r="AR166" s="4">
        <f t="shared" si="16"/>
        <v>6</v>
      </c>
      <c r="AS166" s="4">
        <f t="shared" si="17"/>
        <v>3</v>
      </c>
      <c r="AT166" s="32">
        <f t="shared" si="18"/>
        <v>73.2</v>
      </c>
    </row>
    <row r="167" customHeight="1" spans="1:48">
      <c r="A167" s="4">
        <v>166</v>
      </c>
      <c r="B167" s="4" t="s">
        <v>379</v>
      </c>
      <c r="C167" s="5">
        <v>13871631525</v>
      </c>
      <c r="D167" s="65">
        <v>46125</v>
      </c>
      <c r="E167" s="65">
        <v>46163</v>
      </c>
      <c r="F167" s="11">
        <v>488</v>
      </c>
      <c r="G167" s="11">
        <v>20</v>
      </c>
      <c r="H167" s="68">
        <f t="shared" si="19"/>
        <v>24.4</v>
      </c>
      <c r="I167" s="11" t="s">
        <v>240</v>
      </c>
      <c r="J167" s="6" t="s">
        <v>378</v>
      </c>
      <c r="L167" s="4">
        <v>11</v>
      </c>
      <c r="S167" s="4">
        <v>2</v>
      </c>
      <c r="T167" s="4">
        <v>1</v>
      </c>
      <c r="W167" s="4">
        <v>1</v>
      </c>
      <c r="X167" s="4">
        <v>1</v>
      </c>
      <c r="AA167" s="26">
        <v>2</v>
      </c>
      <c r="AP167" s="6"/>
      <c r="AR167" s="4">
        <f t="shared" si="16"/>
        <v>7</v>
      </c>
      <c r="AS167" s="4">
        <f t="shared" si="17"/>
        <v>4</v>
      </c>
      <c r="AT167" s="32">
        <f t="shared" si="18"/>
        <v>97.6</v>
      </c>
    </row>
    <row r="168" customHeight="1" spans="1:48">
      <c r="A168" s="4">
        <v>167</v>
      </c>
      <c r="B168" s="4" t="s">
        <v>380</v>
      </c>
      <c r="C168" s="5">
        <v>13235401202</v>
      </c>
      <c r="D168" s="65">
        <v>46126</v>
      </c>
      <c r="E168" s="65">
        <v>46164</v>
      </c>
      <c r="F168" s="11">
        <v>488</v>
      </c>
      <c r="G168" s="11">
        <v>20</v>
      </c>
      <c r="H168" s="68">
        <f t="shared" si="19"/>
        <v>24.4</v>
      </c>
      <c r="I168" s="11" t="s">
        <v>240</v>
      </c>
      <c r="J168" s="6" t="s">
        <v>366</v>
      </c>
      <c r="L168" s="4">
        <v>12</v>
      </c>
      <c r="Y168" s="4">
        <v>2</v>
      </c>
      <c r="Z168" s="4">
        <v>2</v>
      </c>
      <c r="AA168" s="26">
        <v>2</v>
      </c>
      <c r="AP168" s="6"/>
      <c r="AR168" s="4">
        <f t="shared" si="16"/>
        <v>6</v>
      </c>
      <c r="AS168" s="4">
        <f t="shared" si="17"/>
        <v>6</v>
      </c>
      <c r="AT168" s="32">
        <f t="shared" si="18"/>
        <v>146.4</v>
      </c>
    </row>
    <row r="169" customHeight="1" spans="1:48">
      <c r="A169" s="4">
        <v>168</v>
      </c>
      <c r="B169" s="6" t="s">
        <v>381</v>
      </c>
      <c r="C169" s="5">
        <v>19831026008</v>
      </c>
      <c r="D169" s="65">
        <v>46126</v>
      </c>
      <c r="E169" s="65">
        <v>46164</v>
      </c>
      <c r="F169" s="11">
        <v>488</v>
      </c>
      <c r="G169" s="11">
        <v>20</v>
      </c>
      <c r="H169" s="68">
        <f t="shared" si="19"/>
        <v>24.4</v>
      </c>
      <c r="I169" s="11" t="s">
        <v>240</v>
      </c>
      <c r="J169" s="6" t="s">
        <v>366</v>
      </c>
      <c r="L169" s="4">
        <v>10</v>
      </c>
      <c r="R169" s="4">
        <v>1</v>
      </c>
      <c r="S169" s="4">
        <v>1</v>
      </c>
      <c r="T169" s="4">
        <v>1</v>
      </c>
      <c r="W169" s="4">
        <v>1</v>
      </c>
      <c r="X169" s="4">
        <v>2</v>
      </c>
      <c r="AP169" s="6"/>
      <c r="AR169" s="4">
        <f t="shared" si="16"/>
        <v>6</v>
      </c>
      <c r="AS169" s="4">
        <f t="shared" si="17"/>
        <v>4</v>
      </c>
      <c r="AT169" s="32">
        <f t="shared" si="18"/>
        <v>97.6</v>
      </c>
    </row>
    <row r="170" s="9" customFormat="1" customHeight="1" spans="1:48">
      <c r="A170" s="4">
        <v>169</v>
      </c>
      <c r="B170" s="9" t="s">
        <v>382</v>
      </c>
      <c r="C170" s="10">
        <v>17678924421</v>
      </c>
      <c r="D170" s="71">
        <v>46126</v>
      </c>
      <c r="E170" s="71">
        <v>46164</v>
      </c>
      <c r="F170" s="9">
        <v>488</v>
      </c>
      <c r="G170" s="9">
        <v>20</v>
      </c>
      <c r="H170" s="72">
        <f t="shared" si="19"/>
        <v>24.4</v>
      </c>
      <c r="I170" s="73" t="s">
        <v>240</v>
      </c>
      <c r="J170" s="73" t="s">
        <v>383</v>
      </c>
      <c r="K170" s="73" t="s">
        <v>366</v>
      </c>
      <c r="L170" s="85">
        <v>0</v>
      </c>
      <c r="M170" s="9"/>
      <c r="N170" s="9"/>
      <c r="O170" s="9"/>
      <c r="P170" s="9"/>
      <c r="Q170" s="9"/>
      <c r="R170" s="9"/>
      <c r="S170" s="9"/>
      <c r="T170" s="9"/>
      <c r="U170" s="9"/>
      <c r="V170" s="4"/>
      <c r="W170" s="4"/>
      <c r="X170" s="9"/>
      <c r="Y170" s="4"/>
      <c r="Z170" s="4"/>
      <c r="AA170" s="26"/>
      <c r="AB170" s="4"/>
      <c r="AC170" s="4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73"/>
      <c r="AQ170" s="9"/>
      <c r="AR170" s="9">
        <f t="shared" si="16"/>
        <v>0</v>
      </c>
      <c r="AS170" s="9">
        <f t="shared" si="17"/>
        <v>0</v>
      </c>
      <c r="AT170" s="51">
        <f t="shared" si="18"/>
        <v>0</v>
      </c>
      <c r="AV170" s="9" t="s">
        <v>384</v>
      </c>
    </row>
    <row r="171" customHeight="1" spans="1:48">
      <c r="A171" s="4">
        <v>170</v>
      </c>
      <c r="B171" s="4" t="s">
        <v>385</v>
      </c>
      <c r="C171" s="5">
        <v>15527688909</v>
      </c>
      <c r="D171" s="65">
        <v>46126</v>
      </c>
      <c r="E171" s="65">
        <v>46164</v>
      </c>
      <c r="F171" s="11">
        <v>488</v>
      </c>
      <c r="G171" s="11">
        <v>20</v>
      </c>
      <c r="H171" s="68">
        <f t="shared" si="19"/>
        <v>24.4</v>
      </c>
      <c r="I171" s="6" t="s">
        <v>240</v>
      </c>
      <c r="J171" s="6" t="s">
        <v>366</v>
      </c>
      <c r="L171" s="4">
        <v>10</v>
      </c>
      <c r="R171" s="4">
        <v>1</v>
      </c>
      <c r="S171" s="4">
        <v>1</v>
      </c>
      <c r="T171" s="4">
        <v>1</v>
      </c>
      <c r="U171" s="4">
        <v>1</v>
      </c>
      <c r="W171" s="4">
        <v>1</v>
      </c>
      <c r="X171" s="4">
        <v>1</v>
      </c>
      <c r="Y171" s="4">
        <v>1</v>
      </c>
      <c r="AA171" s="26">
        <v>1</v>
      </c>
      <c r="AP171" s="6"/>
      <c r="AR171" s="4">
        <f t="shared" si="16"/>
        <v>8</v>
      </c>
      <c r="AS171" s="4">
        <f t="shared" si="17"/>
        <v>2</v>
      </c>
      <c r="AT171" s="32">
        <f t="shared" si="18"/>
        <v>48.8</v>
      </c>
    </row>
    <row r="172" customHeight="1" spans="1:48">
      <c r="A172" s="4">
        <v>171</v>
      </c>
      <c r="B172" s="4" t="s">
        <v>386</v>
      </c>
      <c r="C172" s="5">
        <v>13163242799</v>
      </c>
      <c r="D172" s="65">
        <v>46125</v>
      </c>
      <c r="E172" s="65">
        <v>46255</v>
      </c>
      <c r="F172" s="4">
        <v>1399</v>
      </c>
      <c r="G172" s="4">
        <v>62</v>
      </c>
      <c r="H172" s="66">
        <f t="shared" si="19"/>
        <v>22.5645161290323</v>
      </c>
      <c r="I172" s="4">
        <v>1399.62</v>
      </c>
      <c r="J172" s="56" t="s">
        <v>387</v>
      </c>
      <c r="K172" s="6" t="s">
        <v>388</v>
      </c>
      <c r="L172" s="75">
        <v>43</v>
      </c>
      <c r="R172" s="4">
        <v>1</v>
      </c>
      <c r="S172" s="4">
        <v>2</v>
      </c>
      <c r="T172" s="4">
        <v>1</v>
      </c>
      <c r="U172" s="4">
        <v>2</v>
      </c>
      <c r="W172" s="4">
        <v>1</v>
      </c>
      <c r="X172" s="4">
        <v>2</v>
      </c>
      <c r="Y172" s="4">
        <v>2</v>
      </c>
      <c r="Z172" s="4">
        <v>2</v>
      </c>
      <c r="AA172" s="26">
        <v>2</v>
      </c>
      <c r="AP172" s="5"/>
      <c r="AQ172" s="5"/>
      <c r="AR172" s="4">
        <f t="shared" si="16"/>
        <v>15</v>
      </c>
      <c r="AS172" s="4">
        <f t="shared" si="17"/>
        <v>28</v>
      </c>
      <c r="AT172" s="32">
        <f t="shared" si="18"/>
        <v>631.806451612904</v>
      </c>
    </row>
    <row r="173" customHeight="1" spans="1:48">
      <c r="A173" s="4">
        <v>172</v>
      </c>
      <c r="B173" s="4" t="s">
        <v>389</v>
      </c>
      <c r="C173" s="5">
        <v>15071616518</v>
      </c>
      <c r="D173" s="65">
        <v>46127</v>
      </c>
      <c r="E173" s="65">
        <v>46165</v>
      </c>
      <c r="F173" s="11">
        <v>488</v>
      </c>
      <c r="G173" s="11">
        <v>20</v>
      </c>
      <c r="H173" s="68">
        <f t="shared" si="19"/>
        <v>24.4</v>
      </c>
      <c r="I173" s="6" t="s">
        <v>240</v>
      </c>
      <c r="J173" s="6" t="s">
        <v>390</v>
      </c>
      <c r="L173" s="4">
        <v>11</v>
      </c>
      <c r="Y173" s="4">
        <v>1</v>
      </c>
      <c r="AP173" s="5"/>
      <c r="AR173" s="4">
        <f t="shared" si="16"/>
        <v>1</v>
      </c>
      <c r="AS173" s="4">
        <f t="shared" si="17"/>
        <v>10</v>
      </c>
      <c r="AT173" s="32">
        <f t="shared" si="18"/>
        <v>244</v>
      </c>
    </row>
    <row r="174" customHeight="1" spans="1:48">
      <c r="A174" s="4">
        <v>173</v>
      </c>
      <c r="B174" s="4" t="s">
        <v>391</v>
      </c>
      <c r="C174" s="5">
        <v>18907195291</v>
      </c>
      <c r="D174" s="65">
        <v>46128</v>
      </c>
      <c r="E174" s="65">
        <v>46166</v>
      </c>
      <c r="F174" s="11">
        <v>488</v>
      </c>
      <c r="G174" s="11">
        <v>20</v>
      </c>
      <c r="H174" s="68">
        <f t="shared" si="19"/>
        <v>24.4</v>
      </c>
      <c r="I174" s="6" t="s">
        <v>240</v>
      </c>
      <c r="J174" s="6" t="s">
        <v>392</v>
      </c>
      <c r="L174" s="4">
        <v>12</v>
      </c>
      <c r="R174" s="4">
        <v>1</v>
      </c>
      <c r="S174" s="4">
        <v>2</v>
      </c>
      <c r="T174" s="4">
        <v>1</v>
      </c>
      <c r="Y174" s="4">
        <v>1</v>
      </c>
      <c r="AP174" s="6"/>
      <c r="AR174" s="4">
        <f t="shared" si="16"/>
        <v>5</v>
      </c>
      <c r="AS174" s="4">
        <f t="shared" si="17"/>
        <v>7</v>
      </c>
      <c r="AT174" s="32">
        <f t="shared" si="18"/>
        <v>170.8</v>
      </c>
    </row>
    <row r="175" customHeight="1" spans="1:48">
      <c r="A175" s="4">
        <v>174</v>
      </c>
      <c r="B175" s="4" t="s">
        <v>393</v>
      </c>
      <c r="C175" s="5">
        <v>13597468355</v>
      </c>
      <c r="D175" s="65">
        <v>46128</v>
      </c>
      <c r="E175" s="65">
        <v>46227</v>
      </c>
      <c r="F175" s="4">
        <v>780</v>
      </c>
      <c r="G175" s="4">
        <v>32</v>
      </c>
      <c r="H175" s="68">
        <f t="shared" si="19"/>
        <v>24.375</v>
      </c>
      <c r="I175" s="6" t="s">
        <v>394</v>
      </c>
      <c r="J175" s="56" t="s">
        <v>395</v>
      </c>
      <c r="K175" s="6" t="s">
        <v>396</v>
      </c>
      <c r="L175" s="75">
        <v>19</v>
      </c>
      <c r="R175" s="4">
        <v>1</v>
      </c>
      <c r="S175" s="4">
        <v>2</v>
      </c>
      <c r="U175" s="4">
        <v>1</v>
      </c>
      <c r="W175" s="4">
        <v>1</v>
      </c>
      <c r="AA175" s="26">
        <v>2</v>
      </c>
      <c r="AP175" s="6"/>
      <c r="AR175" s="4">
        <f t="shared" si="16"/>
        <v>7</v>
      </c>
      <c r="AS175" s="4">
        <f t="shared" si="17"/>
        <v>12</v>
      </c>
      <c r="AT175" s="32">
        <f t="shared" si="18"/>
        <v>292.5</v>
      </c>
    </row>
    <row r="176" customHeight="1" spans="1:48">
      <c r="A176" s="4">
        <v>175</v>
      </c>
      <c r="B176" s="4" t="s">
        <v>397</v>
      </c>
      <c r="C176" s="5">
        <v>15835325059</v>
      </c>
      <c r="D176" s="65">
        <v>46128</v>
      </c>
      <c r="E176" s="65">
        <v>46166</v>
      </c>
      <c r="F176" s="11">
        <v>488</v>
      </c>
      <c r="G176" s="11">
        <v>20</v>
      </c>
      <c r="H176" s="68">
        <f t="shared" si="19"/>
        <v>24.4</v>
      </c>
      <c r="I176" s="6" t="s">
        <v>240</v>
      </c>
      <c r="J176" s="6" t="s">
        <v>340</v>
      </c>
      <c r="K176" s="6" t="s">
        <v>392</v>
      </c>
      <c r="L176" s="75">
        <v>8</v>
      </c>
      <c r="R176" s="4">
        <v>1</v>
      </c>
      <c r="S176" s="4">
        <v>1</v>
      </c>
      <c r="T176" s="4">
        <v>1</v>
      </c>
      <c r="U176" s="4">
        <v>1</v>
      </c>
      <c r="W176" s="4">
        <v>1</v>
      </c>
      <c r="X176" s="4">
        <v>1</v>
      </c>
      <c r="Z176" s="4">
        <v>1</v>
      </c>
      <c r="AA176" s="26">
        <v>1</v>
      </c>
      <c r="AP176" s="5"/>
      <c r="AR176" s="4">
        <f t="shared" si="16"/>
        <v>8</v>
      </c>
      <c r="AS176" s="4">
        <f t="shared" si="17"/>
        <v>0</v>
      </c>
      <c r="AT176" s="32">
        <f t="shared" si="18"/>
        <v>0</v>
      </c>
    </row>
    <row r="177" customHeight="1" spans="1:46">
      <c r="A177" s="4">
        <v>176</v>
      </c>
      <c r="B177" s="4" t="s">
        <v>398</v>
      </c>
      <c r="C177" s="5">
        <v>15871779693</v>
      </c>
      <c r="D177" s="65">
        <v>46131</v>
      </c>
      <c r="E177" s="65">
        <v>46169</v>
      </c>
      <c r="F177" s="11">
        <v>488</v>
      </c>
      <c r="G177" s="11">
        <v>20</v>
      </c>
      <c r="H177" s="68">
        <f t="shared" si="19"/>
        <v>24.4</v>
      </c>
      <c r="I177" s="6" t="s">
        <v>240</v>
      </c>
      <c r="J177" s="6" t="s">
        <v>399</v>
      </c>
      <c r="L177" s="4">
        <v>11</v>
      </c>
      <c r="T177" s="4">
        <v>1</v>
      </c>
      <c r="U177" s="4">
        <v>1</v>
      </c>
      <c r="W177" s="4">
        <v>1</v>
      </c>
      <c r="X177" s="4">
        <v>1</v>
      </c>
      <c r="Y177" s="4">
        <v>1</v>
      </c>
      <c r="AA177" s="26">
        <v>2</v>
      </c>
      <c r="AP177" s="6"/>
      <c r="AR177" s="4">
        <f t="shared" si="16"/>
        <v>7</v>
      </c>
      <c r="AS177" s="4">
        <f t="shared" si="17"/>
        <v>4</v>
      </c>
      <c r="AT177" s="32">
        <f t="shared" si="18"/>
        <v>97.6</v>
      </c>
    </row>
    <row r="178" s="11" customFormat="1" customHeight="1" spans="1:46">
      <c r="A178" s="4">
        <v>177</v>
      </c>
      <c r="B178" s="11" t="s">
        <v>400</v>
      </c>
      <c r="C178" s="12">
        <v>13163375018</v>
      </c>
      <c r="D178" s="65">
        <v>46126</v>
      </c>
      <c r="E178" s="65">
        <v>46225</v>
      </c>
      <c r="F178" s="11">
        <v>688</v>
      </c>
      <c r="G178" s="11">
        <v>30</v>
      </c>
      <c r="H178" s="68">
        <f t="shared" si="19"/>
        <v>22.9333333333333</v>
      </c>
      <c r="I178" s="93" t="s">
        <v>163</v>
      </c>
      <c r="J178" s="11" t="s">
        <v>401</v>
      </c>
      <c r="K178" s="6" t="s">
        <v>402</v>
      </c>
      <c r="L178" s="69">
        <v>16</v>
      </c>
      <c r="M178" s="11"/>
      <c r="N178" s="11"/>
      <c r="O178" s="11"/>
      <c r="P178" s="11"/>
      <c r="Q178" s="11"/>
      <c r="R178" s="11"/>
      <c r="S178" s="4">
        <v>2</v>
      </c>
      <c r="T178" s="4">
        <v>1</v>
      </c>
      <c r="U178" s="4"/>
      <c r="V178" s="4"/>
      <c r="W178" s="4"/>
      <c r="X178" s="11"/>
      <c r="Y178" s="4"/>
      <c r="Z178" s="4">
        <v>2</v>
      </c>
      <c r="AA178" s="26"/>
      <c r="AB178" s="4"/>
      <c r="AC178" s="4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5"/>
      <c r="AQ178" s="11"/>
      <c r="AR178" s="11">
        <f t="shared" si="16"/>
        <v>5</v>
      </c>
      <c r="AS178" s="11">
        <f t="shared" si="17"/>
        <v>11</v>
      </c>
      <c r="AT178" s="81">
        <f t="shared" si="18"/>
        <v>252.266666666666</v>
      </c>
    </row>
    <row r="179" customHeight="1" spans="1:46">
      <c r="A179" s="4">
        <v>178</v>
      </c>
      <c r="B179" s="4" t="s">
        <v>403</v>
      </c>
      <c r="C179" s="5">
        <v>18189522767</v>
      </c>
      <c r="D179" s="65">
        <v>46128</v>
      </c>
      <c r="E179" s="65">
        <v>46227</v>
      </c>
      <c r="F179" s="4">
        <v>788</v>
      </c>
      <c r="G179" s="11">
        <v>30</v>
      </c>
      <c r="H179" s="68">
        <f t="shared" si="19"/>
        <v>26.2666666666667</v>
      </c>
      <c r="I179" s="6" t="s">
        <v>189</v>
      </c>
      <c r="J179" s="6" t="s">
        <v>404</v>
      </c>
      <c r="L179" s="4">
        <v>21</v>
      </c>
      <c r="Z179" s="4">
        <v>1</v>
      </c>
      <c r="AA179" s="26">
        <v>1</v>
      </c>
      <c r="AP179" s="5"/>
      <c r="AQ179" s="5"/>
      <c r="AR179" s="4">
        <f t="shared" si="16"/>
        <v>2</v>
      </c>
      <c r="AS179" s="4">
        <f t="shared" si="17"/>
        <v>19</v>
      </c>
      <c r="AT179" s="32">
        <f t="shared" si="18"/>
        <v>499.066666666667</v>
      </c>
    </row>
    <row r="180" customHeight="1" spans="1:46">
      <c r="A180" s="4">
        <v>179</v>
      </c>
      <c r="B180" s="6" t="s">
        <v>405</v>
      </c>
      <c r="C180" s="5">
        <v>18827065560</v>
      </c>
      <c r="D180" s="65">
        <v>46127</v>
      </c>
      <c r="E180" s="65">
        <v>46165</v>
      </c>
      <c r="F180" s="11">
        <v>488</v>
      </c>
      <c r="G180" s="11">
        <v>20</v>
      </c>
      <c r="H180" s="68">
        <f t="shared" si="19"/>
        <v>24.4</v>
      </c>
      <c r="I180" s="6" t="s">
        <v>240</v>
      </c>
      <c r="J180" s="6" t="s">
        <v>390</v>
      </c>
      <c r="L180" s="4">
        <v>4</v>
      </c>
      <c r="U180" s="4">
        <v>1</v>
      </c>
      <c r="Y180" s="4">
        <v>1</v>
      </c>
      <c r="AP180" s="5"/>
      <c r="AR180" s="4">
        <f t="shared" si="16"/>
        <v>2</v>
      </c>
      <c r="AS180" s="4">
        <f t="shared" si="17"/>
        <v>2</v>
      </c>
      <c r="AT180" s="32">
        <f t="shared" si="18"/>
        <v>48.8</v>
      </c>
    </row>
    <row r="181" s="11" customFormat="1" customHeight="1" spans="1:46">
      <c r="A181" s="4">
        <v>180</v>
      </c>
      <c r="B181" s="11" t="s">
        <v>406</v>
      </c>
      <c r="C181" s="12">
        <v>18303399719</v>
      </c>
      <c r="D181" s="65">
        <v>46128</v>
      </c>
      <c r="E181" s="65">
        <v>46227</v>
      </c>
      <c r="F181" s="11">
        <v>788</v>
      </c>
      <c r="G181" s="11">
        <v>32</v>
      </c>
      <c r="H181" s="68">
        <f t="shared" si="19"/>
        <v>24.625</v>
      </c>
      <c r="I181" s="6" t="s">
        <v>279</v>
      </c>
      <c r="J181" s="6" t="s">
        <v>340</v>
      </c>
      <c r="K181" s="6" t="s">
        <v>407</v>
      </c>
      <c r="L181" s="91">
        <v>22</v>
      </c>
      <c r="M181" s="11"/>
      <c r="N181" s="11"/>
      <c r="O181" s="11"/>
      <c r="P181" s="11"/>
      <c r="Q181" s="11"/>
      <c r="R181" s="4">
        <v>1</v>
      </c>
      <c r="S181" s="11">
        <v>1</v>
      </c>
      <c r="T181" s="4">
        <v>1</v>
      </c>
      <c r="U181" s="4">
        <v>1</v>
      </c>
      <c r="V181" s="4"/>
      <c r="W181" s="4"/>
      <c r="X181" s="4">
        <v>1</v>
      </c>
      <c r="Y181" s="4">
        <v>1</v>
      </c>
      <c r="Z181" s="4">
        <v>1</v>
      </c>
      <c r="AA181" s="26"/>
      <c r="AB181" s="4"/>
      <c r="AC181" s="4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5"/>
      <c r="AQ181" s="11"/>
      <c r="AR181" s="11">
        <f t="shared" si="16"/>
        <v>7</v>
      </c>
      <c r="AS181" s="11">
        <f t="shared" si="17"/>
        <v>15</v>
      </c>
      <c r="AT181" s="81">
        <f t="shared" si="18"/>
        <v>369.375</v>
      </c>
    </row>
    <row r="182" customHeight="1" spans="1:46">
      <c r="A182" s="4">
        <v>181</v>
      </c>
      <c r="B182" s="4" t="s">
        <v>408</v>
      </c>
      <c r="C182" s="5">
        <v>18390895217</v>
      </c>
      <c r="D182" s="65">
        <v>46127</v>
      </c>
      <c r="E182" s="65">
        <v>46165</v>
      </c>
      <c r="F182" s="11">
        <v>488</v>
      </c>
      <c r="G182" s="11">
        <v>20</v>
      </c>
      <c r="H182" s="68">
        <f t="shared" si="19"/>
        <v>24.4</v>
      </c>
      <c r="I182" s="6" t="s">
        <v>240</v>
      </c>
      <c r="J182" s="6" t="s">
        <v>390</v>
      </c>
      <c r="L182" s="4">
        <v>8</v>
      </c>
      <c r="S182" s="4">
        <v>1</v>
      </c>
      <c r="X182" s="4">
        <v>1</v>
      </c>
      <c r="Z182" s="4">
        <v>1</v>
      </c>
      <c r="AP182" s="6"/>
      <c r="AR182" s="4">
        <f t="shared" si="16"/>
        <v>3</v>
      </c>
      <c r="AS182" s="4">
        <f t="shared" si="17"/>
        <v>5</v>
      </c>
      <c r="AT182" s="32">
        <f t="shared" si="18"/>
        <v>122</v>
      </c>
    </row>
    <row r="183" customHeight="1" spans="1:46">
      <c r="A183" s="4">
        <v>182</v>
      </c>
      <c r="B183" s="4" t="s">
        <v>409</v>
      </c>
      <c r="C183" s="5">
        <v>15250182866</v>
      </c>
      <c r="D183" s="65">
        <v>46143</v>
      </c>
      <c r="E183" s="65">
        <v>46182</v>
      </c>
      <c r="F183" s="11">
        <v>488</v>
      </c>
      <c r="G183" s="11">
        <v>20</v>
      </c>
      <c r="H183" s="68">
        <f t="shared" si="19"/>
        <v>24.4</v>
      </c>
      <c r="I183" s="6" t="s">
        <v>240</v>
      </c>
      <c r="J183" s="6" t="s">
        <v>410</v>
      </c>
      <c r="L183" s="4">
        <v>10</v>
      </c>
      <c r="S183" s="4">
        <v>1</v>
      </c>
      <c r="W183" s="4">
        <v>1</v>
      </c>
      <c r="X183" s="4">
        <v>1</v>
      </c>
      <c r="Y183" s="4">
        <v>1</v>
      </c>
      <c r="AA183" s="26">
        <v>1</v>
      </c>
      <c r="AP183" s="5"/>
      <c r="AR183" s="4">
        <f t="shared" si="16"/>
        <v>5</v>
      </c>
      <c r="AS183" s="4">
        <f t="shared" si="17"/>
        <v>5</v>
      </c>
      <c r="AT183" s="32">
        <f t="shared" si="18"/>
        <v>122</v>
      </c>
    </row>
    <row r="184" s="11" customFormat="1" customHeight="1" spans="1:46">
      <c r="A184" s="4">
        <v>183</v>
      </c>
      <c r="B184" s="11" t="s">
        <v>411</v>
      </c>
      <c r="C184" s="12">
        <v>13107733025</v>
      </c>
      <c r="D184" s="65">
        <v>46126</v>
      </c>
      <c r="E184" s="65">
        <v>46164</v>
      </c>
      <c r="F184" s="11">
        <v>488</v>
      </c>
      <c r="G184" s="11">
        <v>20</v>
      </c>
      <c r="H184" s="68">
        <f t="shared" si="19"/>
        <v>24.4</v>
      </c>
      <c r="I184" s="6" t="s">
        <v>240</v>
      </c>
      <c r="J184" s="6" t="s">
        <v>412</v>
      </c>
      <c r="K184" s="6" t="s">
        <v>366</v>
      </c>
      <c r="L184" s="11">
        <v>16</v>
      </c>
      <c r="M184" s="11"/>
      <c r="N184" s="11"/>
      <c r="O184" s="11"/>
      <c r="P184" s="11"/>
      <c r="Q184" s="11"/>
      <c r="R184" s="11"/>
      <c r="S184" s="11"/>
      <c r="T184" s="11"/>
      <c r="U184" s="4"/>
      <c r="V184" s="4"/>
      <c r="W184" s="4"/>
      <c r="X184" s="11"/>
      <c r="Y184" s="4"/>
      <c r="Z184" s="4"/>
      <c r="AA184" s="26"/>
      <c r="AB184" s="4"/>
      <c r="AC184" s="4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6"/>
      <c r="AQ184" s="11"/>
      <c r="AR184" s="11">
        <f t="shared" si="16"/>
        <v>0</v>
      </c>
      <c r="AS184" s="11">
        <f t="shared" si="17"/>
        <v>16</v>
      </c>
      <c r="AT184" s="81">
        <f t="shared" si="18"/>
        <v>390.4</v>
      </c>
    </row>
    <row r="185" customHeight="1" spans="1:46">
      <c r="A185" s="4">
        <v>184</v>
      </c>
      <c r="B185" s="6" t="s">
        <v>413</v>
      </c>
      <c r="C185" s="5">
        <v>19079256623</v>
      </c>
      <c r="D185" s="65">
        <v>46127</v>
      </c>
      <c r="E185" s="65">
        <v>46165</v>
      </c>
      <c r="F185" s="11">
        <v>488</v>
      </c>
      <c r="G185" s="11">
        <v>20</v>
      </c>
      <c r="H185" s="68">
        <f t="shared" si="19"/>
        <v>24.4</v>
      </c>
      <c r="I185" s="6" t="s">
        <v>240</v>
      </c>
      <c r="J185" s="6" t="s">
        <v>390</v>
      </c>
      <c r="L185" s="4">
        <v>9</v>
      </c>
      <c r="R185" s="4">
        <v>1</v>
      </c>
      <c r="S185" s="4">
        <v>2</v>
      </c>
      <c r="W185" s="4">
        <v>2</v>
      </c>
      <c r="X185" s="4">
        <v>1</v>
      </c>
      <c r="Y185" s="4">
        <v>1</v>
      </c>
      <c r="Z185" s="4">
        <v>1</v>
      </c>
      <c r="AA185" s="26">
        <v>1</v>
      </c>
      <c r="AP185" s="5"/>
      <c r="AR185" s="4">
        <f t="shared" si="16"/>
        <v>9</v>
      </c>
      <c r="AS185" s="4">
        <f t="shared" si="17"/>
        <v>0</v>
      </c>
      <c r="AT185" s="32">
        <f t="shared" si="18"/>
        <v>0</v>
      </c>
    </row>
    <row r="186" customHeight="1" spans="1:46">
      <c r="A186" s="4">
        <v>185</v>
      </c>
      <c r="B186" s="4" t="s">
        <v>414</v>
      </c>
      <c r="C186" s="5">
        <v>17386388020</v>
      </c>
      <c r="D186" s="65">
        <v>46127</v>
      </c>
      <c r="E186" s="65">
        <v>46165</v>
      </c>
      <c r="F186" s="11">
        <v>488</v>
      </c>
      <c r="G186" s="11">
        <v>20</v>
      </c>
      <c r="H186" s="68">
        <f t="shared" si="19"/>
        <v>24.4</v>
      </c>
      <c r="I186" s="6" t="s">
        <v>240</v>
      </c>
      <c r="J186" s="6" t="s">
        <v>390</v>
      </c>
      <c r="L186" s="4">
        <v>9</v>
      </c>
      <c r="T186" s="4">
        <v>1</v>
      </c>
      <c r="W186" s="4">
        <v>1</v>
      </c>
      <c r="Y186" s="4">
        <v>3</v>
      </c>
      <c r="Z186" s="4">
        <v>2</v>
      </c>
      <c r="AA186" s="26">
        <v>1</v>
      </c>
      <c r="AP186" s="6"/>
      <c r="AR186" s="4">
        <f t="shared" si="16"/>
        <v>8</v>
      </c>
      <c r="AS186" s="4">
        <f t="shared" si="17"/>
        <v>1</v>
      </c>
      <c r="AT186" s="32">
        <f t="shared" si="18"/>
        <v>24.4</v>
      </c>
    </row>
    <row r="187" customHeight="1" spans="1:46">
      <c r="A187" s="4">
        <v>186</v>
      </c>
      <c r="B187" s="4" t="s">
        <v>415</v>
      </c>
      <c r="C187" s="5">
        <v>18827048374</v>
      </c>
      <c r="D187" s="65">
        <v>46134</v>
      </c>
      <c r="E187" s="65">
        <v>46172</v>
      </c>
      <c r="F187" s="11">
        <v>488</v>
      </c>
      <c r="G187" s="11">
        <v>20</v>
      </c>
      <c r="H187" s="68">
        <f t="shared" si="19"/>
        <v>24.4</v>
      </c>
      <c r="I187" s="6" t="s">
        <v>240</v>
      </c>
      <c r="J187" s="6" t="s">
        <v>416</v>
      </c>
      <c r="L187" s="4">
        <v>10</v>
      </c>
      <c r="R187" s="4">
        <v>1</v>
      </c>
      <c r="S187" s="4">
        <v>1</v>
      </c>
      <c r="T187" s="4">
        <v>1</v>
      </c>
      <c r="U187" s="4">
        <v>1</v>
      </c>
      <c r="W187" s="4">
        <v>1</v>
      </c>
      <c r="X187" s="4">
        <v>1</v>
      </c>
      <c r="Y187" s="4">
        <v>1</v>
      </c>
      <c r="Z187" s="4">
        <v>1</v>
      </c>
      <c r="AA187" s="26">
        <v>1</v>
      </c>
      <c r="AP187" s="5"/>
      <c r="AR187" s="4">
        <f t="shared" si="16"/>
        <v>9</v>
      </c>
      <c r="AS187" s="4">
        <f t="shared" si="17"/>
        <v>1</v>
      </c>
      <c r="AT187" s="32">
        <f t="shared" si="18"/>
        <v>24.4</v>
      </c>
    </row>
    <row r="188" s="11" customFormat="1" customHeight="1" spans="1:46">
      <c r="A188" s="4">
        <v>187</v>
      </c>
      <c r="B188" s="6" t="s">
        <v>417</v>
      </c>
      <c r="C188" s="12">
        <v>19871992042</v>
      </c>
      <c r="D188" s="65">
        <v>46128</v>
      </c>
      <c r="E188" s="65">
        <v>46166</v>
      </c>
      <c r="F188" s="11">
        <v>488</v>
      </c>
      <c r="G188" s="11">
        <v>20</v>
      </c>
      <c r="H188" s="68">
        <f t="shared" si="19"/>
        <v>24.4</v>
      </c>
      <c r="I188" s="6" t="s">
        <v>240</v>
      </c>
      <c r="J188" s="6" t="s">
        <v>418</v>
      </c>
      <c r="K188" s="6" t="s">
        <v>392</v>
      </c>
      <c r="L188" s="11">
        <v>17</v>
      </c>
      <c r="M188" s="11"/>
      <c r="N188" s="11"/>
      <c r="O188" s="11"/>
      <c r="P188" s="11"/>
      <c r="Q188" s="11"/>
      <c r="R188" s="11"/>
      <c r="S188" s="11"/>
      <c r="T188" s="11"/>
      <c r="U188" s="4"/>
      <c r="V188" s="4"/>
      <c r="W188" s="4">
        <v>1</v>
      </c>
      <c r="X188" s="4">
        <v>1</v>
      </c>
      <c r="Y188" s="4">
        <v>2</v>
      </c>
      <c r="Z188" s="4">
        <v>1</v>
      </c>
      <c r="AA188" s="26">
        <v>2</v>
      </c>
      <c r="AB188" s="4"/>
      <c r="AC188" s="4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6"/>
      <c r="AQ188" s="11"/>
      <c r="AR188" s="11">
        <f t="shared" si="16"/>
        <v>7</v>
      </c>
      <c r="AS188" s="11">
        <f t="shared" si="17"/>
        <v>10</v>
      </c>
      <c r="AT188" s="81">
        <f t="shared" si="18"/>
        <v>244</v>
      </c>
    </row>
    <row r="189" customHeight="1" spans="1:46">
      <c r="A189" s="4">
        <v>188</v>
      </c>
      <c r="B189" s="4" t="s">
        <v>419</v>
      </c>
      <c r="C189" s="5">
        <v>13829214802</v>
      </c>
      <c r="D189" s="65">
        <v>46134</v>
      </c>
      <c r="E189" s="65">
        <v>46172</v>
      </c>
      <c r="F189" s="11">
        <v>488</v>
      </c>
      <c r="G189" s="11">
        <v>20</v>
      </c>
      <c r="H189" s="68">
        <f t="shared" si="19"/>
        <v>24.4</v>
      </c>
      <c r="I189" s="6" t="s">
        <v>240</v>
      </c>
      <c r="J189" s="6" t="s">
        <v>416</v>
      </c>
      <c r="L189" s="4">
        <v>12</v>
      </c>
      <c r="R189" s="4">
        <v>1</v>
      </c>
      <c r="S189" s="4">
        <v>1</v>
      </c>
      <c r="U189" s="4">
        <v>1</v>
      </c>
      <c r="AA189" s="26">
        <v>1</v>
      </c>
      <c r="AP189" s="6"/>
      <c r="AR189" s="4">
        <f t="shared" si="16"/>
        <v>4</v>
      </c>
      <c r="AS189" s="4">
        <f t="shared" si="17"/>
        <v>8</v>
      </c>
      <c r="AT189" s="32">
        <f t="shared" si="18"/>
        <v>195.2</v>
      </c>
    </row>
    <row r="190" customHeight="1" spans="1:46">
      <c r="A190" s="4">
        <v>189</v>
      </c>
      <c r="B190" s="6" t="s">
        <v>420</v>
      </c>
      <c r="C190" s="5">
        <v>13899505970</v>
      </c>
      <c r="D190" s="65">
        <v>46134</v>
      </c>
      <c r="E190" s="65">
        <v>46172</v>
      </c>
      <c r="F190" s="11">
        <v>488</v>
      </c>
      <c r="G190" s="11">
        <v>20</v>
      </c>
      <c r="H190" s="68">
        <f t="shared" si="19"/>
        <v>24.4</v>
      </c>
      <c r="I190" s="6" t="s">
        <v>240</v>
      </c>
      <c r="J190" s="6" t="s">
        <v>416</v>
      </c>
      <c r="L190" s="4">
        <v>15</v>
      </c>
      <c r="S190" s="4">
        <v>2</v>
      </c>
      <c r="T190" s="4">
        <v>1</v>
      </c>
      <c r="U190" s="4">
        <v>1</v>
      </c>
      <c r="X190" s="4">
        <v>2</v>
      </c>
      <c r="Y190" s="4">
        <v>2</v>
      </c>
      <c r="Z190" s="4">
        <v>2</v>
      </c>
      <c r="AP190" s="6"/>
      <c r="AR190" s="4">
        <f t="shared" ref="AR190:AR200" si="20">SUM(M190:AQ190)</f>
        <v>10</v>
      </c>
      <c r="AS190" s="4">
        <f t="shared" si="17"/>
        <v>5</v>
      </c>
      <c r="AT190" s="32">
        <f t="shared" si="18"/>
        <v>122</v>
      </c>
    </row>
    <row r="191" customHeight="1" spans="1:46">
      <c r="A191" s="4">
        <v>190</v>
      </c>
      <c r="B191" s="6" t="s">
        <v>421</v>
      </c>
      <c r="C191" s="5">
        <v>13520014231</v>
      </c>
      <c r="D191" s="65">
        <v>46136</v>
      </c>
      <c r="E191" s="65">
        <v>46174</v>
      </c>
      <c r="F191" s="11">
        <v>488</v>
      </c>
      <c r="G191" s="11">
        <v>20</v>
      </c>
      <c r="H191" s="68">
        <f t="shared" si="19"/>
        <v>24.4</v>
      </c>
      <c r="I191" s="6" t="s">
        <v>240</v>
      </c>
      <c r="J191" s="6" t="s">
        <v>422</v>
      </c>
      <c r="L191" s="4">
        <v>11</v>
      </c>
      <c r="R191" s="4">
        <v>1</v>
      </c>
      <c r="T191" s="4">
        <v>2</v>
      </c>
      <c r="U191" s="4">
        <v>2</v>
      </c>
      <c r="W191" s="4">
        <v>1</v>
      </c>
      <c r="Z191" s="4">
        <v>2</v>
      </c>
      <c r="AP191" s="5"/>
      <c r="AQ191" s="5"/>
      <c r="AR191" s="4">
        <f t="shared" si="20"/>
        <v>8</v>
      </c>
      <c r="AS191" s="4">
        <f t="shared" si="17"/>
        <v>3</v>
      </c>
      <c r="AT191" s="32">
        <f t="shared" si="18"/>
        <v>73.2</v>
      </c>
    </row>
    <row r="192" customHeight="1" spans="1:46">
      <c r="A192" s="4">
        <v>191</v>
      </c>
      <c r="B192" s="4" t="s">
        <v>423</v>
      </c>
      <c r="C192" s="5">
        <v>15338985037</v>
      </c>
      <c r="D192" s="65">
        <v>46136</v>
      </c>
      <c r="E192" s="65">
        <v>46174</v>
      </c>
      <c r="F192" s="11">
        <v>488</v>
      </c>
      <c r="G192" s="11">
        <v>20</v>
      </c>
      <c r="H192" s="68">
        <f t="shared" si="19"/>
        <v>24.4</v>
      </c>
      <c r="I192" s="6" t="s">
        <v>240</v>
      </c>
      <c r="J192" s="6" t="s">
        <v>422</v>
      </c>
      <c r="L192" s="4">
        <v>12</v>
      </c>
      <c r="T192" s="4">
        <v>1</v>
      </c>
      <c r="U192" s="4">
        <v>1</v>
      </c>
      <c r="X192" s="4">
        <v>1</v>
      </c>
      <c r="AP192" s="6"/>
      <c r="AR192" s="4">
        <f t="shared" si="20"/>
        <v>3</v>
      </c>
      <c r="AS192" s="4">
        <f t="shared" si="17"/>
        <v>9</v>
      </c>
      <c r="AT192" s="32">
        <f t="shared" si="18"/>
        <v>219.6</v>
      </c>
    </row>
    <row r="193" customHeight="1" spans="1:48">
      <c r="A193" s="4">
        <v>192</v>
      </c>
      <c r="B193" s="6" t="s">
        <v>424</v>
      </c>
      <c r="C193" s="5">
        <v>15258235290</v>
      </c>
      <c r="D193" s="65">
        <v>46136</v>
      </c>
      <c r="E193" s="65">
        <v>46174</v>
      </c>
      <c r="F193" s="11">
        <v>488</v>
      </c>
      <c r="G193" s="11">
        <v>20</v>
      </c>
      <c r="H193" s="68">
        <f t="shared" si="19"/>
        <v>24.4</v>
      </c>
      <c r="I193" s="6" t="s">
        <v>240</v>
      </c>
      <c r="J193" s="6" t="s">
        <v>422</v>
      </c>
      <c r="L193" s="4">
        <v>14</v>
      </c>
      <c r="R193" s="4">
        <v>2</v>
      </c>
      <c r="S193" s="4">
        <v>2</v>
      </c>
      <c r="U193" s="4">
        <v>2</v>
      </c>
      <c r="W193" s="4">
        <v>1</v>
      </c>
      <c r="X193" s="4">
        <v>1</v>
      </c>
      <c r="Y193" s="4">
        <v>1</v>
      </c>
      <c r="Z193" s="4">
        <v>1</v>
      </c>
      <c r="AP193" s="6"/>
      <c r="AR193" s="4">
        <f t="shared" si="20"/>
        <v>10</v>
      </c>
      <c r="AS193" s="4">
        <f t="shared" si="17"/>
        <v>4</v>
      </c>
      <c r="AT193" s="32">
        <f t="shared" si="18"/>
        <v>97.6</v>
      </c>
    </row>
    <row r="194" customHeight="1" spans="1:48">
      <c r="A194" s="4">
        <v>193</v>
      </c>
      <c r="B194" s="6" t="s">
        <v>425</v>
      </c>
      <c r="C194" s="5">
        <v>13477526184</v>
      </c>
      <c r="D194" s="65">
        <v>46134</v>
      </c>
      <c r="E194" s="65">
        <v>46172</v>
      </c>
      <c r="F194" s="11">
        <v>488</v>
      </c>
      <c r="G194" s="11">
        <v>20</v>
      </c>
      <c r="H194" s="68">
        <f t="shared" si="19"/>
        <v>24.4</v>
      </c>
      <c r="I194" s="6" t="s">
        <v>240</v>
      </c>
      <c r="J194" s="6" t="s">
        <v>416</v>
      </c>
      <c r="L194" s="4">
        <v>12</v>
      </c>
      <c r="R194" s="4">
        <v>1</v>
      </c>
      <c r="S194" s="4">
        <v>1</v>
      </c>
      <c r="T194" s="4">
        <v>1</v>
      </c>
      <c r="X194" s="4">
        <v>1</v>
      </c>
      <c r="Y194" s="4">
        <v>1</v>
      </c>
      <c r="AP194" s="6"/>
      <c r="AR194" s="4">
        <f t="shared" si="20"/>
        <v>5</v>
      </c>
      <c r="AS194" s="4">
        <f t="shared" si="17"/>
        <v>7</v>
      </c>
      <c r="AT194" s="32">
        <f t="shared" si="18"/>
        <v>170.8</v>
      </c>
    </row>
    <row r="195" customHeight="1" spans="1:48">
      <c r="A195" s="4">
        <v>194</v>
      </c>
      <c r="B195" s="4" t="s">
        <v>426</v>
      </c>
      <c r="C195" s="5">
        <v>18608659777</v>
      </c>
      <c r="D195" s="65">
        <v>46136</v>
      </c>
      <c r="E195" s="65">
        <v>46174</v>
      </c>
      <c r="F195" s="11">
        <v>488</v>
      </c>
      <c r="G195" s="11">
        <v>20</v>
      </c>
      <c r="H195" s="68">
        <f t="shared" si="19"/>
        <v>24.4</v>
      </c>
      <c r="I195" s="6" t="s">
        <v>240</v>
      </c>
      <c r="J195" s="6" t="s">
        <v>422</v>
      </c>
      <c r="L195" s="4">
        <v>15</v>
      </c>
      <c r="R195" s="4">
        <v>1</v>
      </c>
      <c r="S195" s="4">
        <v>2</v>
      </c>
      <c r="T195" s="4">
        <v>1</v>
      </c>
      <c r="X195" s="4">
        <v>2</v>
      </c>
      <c r="AP195" s="6"/>
      <c r="AR195" s="4">
        <f t="shared" si="20"/>
        <v>6</v>
      </c>
      <c r="AS195" s="4">
        <f t="shared" ref="AS195:AS200" si="21">L195-AR195</f>
        <v>9</v>
      </c>
      <c r="AT195" s="32">
        <f t="shared" ref="AT195:AT200" si="22">AS195*H195</f>
        <v>219.6</v>
      </c>
    </row>
    <row r="196" customHeight="1" spans="1:48">
      <c r="A196" s="4">
        <v>195</v>
      </c>
      <c r="B196" s="4" t="s">
        <v>427</v>
      </c>
      <c r="C196" s="5">
        <v>15926842104</v>
      </c>
      <c r="D196" s="65">
        <v>46134</v>
      </c>
      <c r="E196" s="65">
        <v>46172</v>
      </c>
      <c r="F196" s="11">
        <v>488</v>
      </c>
      <c r="G196" s="11">
        <v>20</v>
      </c>
      <c r="H196" s="68">
        <f t="shared" si="19"/>
        <v>24.4</v>
      </c>
      <c r="I196" s="6" t="s">
        <v>240</v>
      </c>
      <c r="J196" s="6" t="s">
        <v>416</v>
      </c>
      <c r="L196" s="4">
        <v>14</v>
      </c>
      <c r="U196" s="4">
        <v>2</v>
      </c>
      <c r="W196" s="4">
        <v>2</v>
      </c>
      <c r="X196" s="4">
        <v>1</v>
      </c>
      <c r="Y196" s="4">
        <v>1</v>
      </c>
      <c r="Z196" s="4">
        <v>1</v>
      </c>
      <c r="AP196" s="6"/>
      <c r="AR196" s="4">
        <f t="shared" si="20"/>
        <v>7</v>
      </c>
      <c r="AS196" s="4">
        <f t="shared" si="21"/>
        <v>7</v>
      </c>
      <c r="AT196" s="32">
        <f t="shared" si="22"/>
        <v>170.8</v>
      </c>
    </row>
    <row r="197" s="4" customFormat="1" customHeight="1" spans="1:48">
      <c r="A197" s="4">
        <v>196</v>
      </c>
      <c r="B197" s="4" t="s">
        <v>428</v>
      </c>
      <c r="C197" s="5">
        <v>18659116200</v>
      </c>
      <c r="D197" s="65">
        <v>45962</v>
      </c>
      <c r="E197" s="65">
        <v>46419</v>
      </c>
      <c r="F197" s="4">
        <v>1999</v>
      </c>
      <c r="G197" s="4">
        <v>91</v>
      </c>
      <c r="H197" s="66">
        <f t="shared" si="19"/>
        <v>21.967032967033</v>
      </c>
      <c r="I197" s="4" t="s">
        <v>429</v>
      </c>
      <c r="J197" s="4" t="s">
        <v>430</v>
      </c>
      <c r="K197" s="6" t="s">
        <v>431</v>
      </c>
      <c r="L197" s="33">
        <v>70</v>
      </c>
      <c r="T197" s="4">
        <v>1</v>
      </c>
      <c r="U197" s="4"/>
      <c r="AA197" s="26"/>
      <c r="AB197" s="4"/>
      <c r="AC197" s="4"/>
      <c r="AP197" s="6"/>
      <c r="AR197" s="4">
        <f t="shared" si="20"/>
        <v>1</v>
      </c>
      <c r="AS197" s="4">
        <f t="shared" si="21"/>
        <v>69</v>
      </c>
      <c r="AT197" s="32">
        <f t="shared" si="22"/>
        <v>1515.72527472528</v>
      </c>
    </row>
    <row r="198" customHeight="1" spans="1:48">
      <c r="A198" s="4">
        <v>197</v>
      </c>
      <c r="B198" s="4" t="s">
        <v>432</v>
      </c>
      <c r="C198" s="5">
        <v>15572357281</v>
      </c>
      <c r="D198" s="65">
        <v>46136</v>
      </c>
      <c r="E198" s="65">
        <v>46174</v>
      </c>
      <c r="F198" s="11">
        <v>488</v>
      </c>
      <c r="G198" s="11">
        <v>20</v>
      </c>
      <c r="H198" s="68">
        <f t="shared" si="19"/>
        <v>24.4</v>
      </c>
      <c r="I198" s="6" t="s">
        <v>240</v>
      </c>
      <c r="J198" s="6" t="s">
        <v>422</v>
      </c>
      <c r="L198" s="4">
        <v>16</v>
      </c>
      <c r="R198" s="4">
        <v>1</v>
      </c>
      <c r="S198" s="4">
        <v>1</v>
      </c>
      <c r="T198" s="4">
        <v>1</v>
      </c>
      <c r="AA198" s="26">
        <v>1</v>
      </c>
      <c r="AP198" s="5"/>
      <c r="AR198" s="4">
        <f t="shared" si="20"/>
        <v>4</v>
      </c>
      <c r="AS198" s="4">
        <f t="shared" si="21"/>
        <v>12</v>
      </c>
      <c r="AT198" s="32">
        <f t="shared" si="22"/>
        <v>292.8</v>
      </c>
    </row>
    <row r="199" s="11" customFormat="1" customHeight="1" spans="1:48">
      <c r="A199" s="4">
        <v>198</v>
      </c>
      <c r="B199" s="11" t="s">
        <v>433</v>
      </c>
      <c r="C199" s="12">
        <v>18607142701</v>
      </c>
      <c r="D199" s="65">
        <v>46137</v>
      </c>
      <c r="E199" s="65">
        <v>46174</v>
      </c>
      <c r="F199" s="4">
        <v>488</v>
      </c>
      <c r="G199" s="4">
        <v>20</v>
      </c>
      <c r="H199" s="66">
        <f t="shared" si="19"/>
        <v>24.4</v>
      </c>
      <c r="I199" s="6" t="s">
        <v>240</v>
      </c>
      <c r="J199" s="6" t="s">
        <v>332</v>
      </c>
      <c r="K199" s="6" t="s">
        <v>434</v>
      </c>
      <c r="L199" s="11">
        <v>12</v>
      </c>
      <c r="M199" s="11"/>
      <c r="N199" s="11"/>
      <c r="O199" s="11"/>
      <c r="P199" s="11"/>
      <c r="Q199" s="11"/>
      <c r="R199" s="4">
        <v>1</v>
      </c>
      <c r="S199" s="11">
        <v>1</v>
      </c>
      <c r="T199" s="4">
        <v>1</v>
      </c>
      <c r="U199" s="4"/>
      <c r="V199" s="4"/>
      <c r="W199" s="4">
        <v>1</v>
      </c>
      <c r="X199" s="4">
        <v>1</v>
      </c>
      <c r="Y199" s="4">
        <v>1</v>
      </c>
      <c r="Z199" s="4">
        <v>1</v>
      </c>
      <c r="AA199" s="26">
        <v>1</v>
      </c>
      <c r="AB199" s="4"/>
      <c r="AC199" s="4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5"/>
      <c r="AQ199" s="11"/>
      <c r="AR199" s="11">
        <f t="shared" si="20"/>
        <v>8</v>
      </c>
      <c r="AS199" s="11">
        <f t="shared" si="21"/>
        <v>4</v>
      </c>
      <c r="AT199" s="81">
        <f t="shared" si="22"/>
        <v>97.6</v>
      </c>
    </row>
    <row r="200" customHeight="1" spans="1:48">
      <c r="A200" s="4">
        <v>199</v>
      </c>
      <c r="B200" s="4" t="s">
        <v>435</v>
      </c>
      <c r="C200" s="5">
        <v>13260503078</v>
      </c>
      <c r="D200" s="65">
        <v>46140</v>
      </c>
      <c r="E200" s="65">
        <v>46178</v>
      </c>
      <c r="F200" s="4">
        <v>488</v>
      </c>
      <c r="G200" s="4">
        <v>20</v>
      </c>
      <c r="H200" s="66">
        <f t="shared" si="19"/>
        <v>24.4</v>
      </c>
      <c r="I200" s="6" t="s">
        <v>240</v>
      </c>
      <c r="J200" s="6" t="s">
        <v>274</v>
      </c>
      <c r="K200" s="6" t="s">
        <v>436</v>
      </c>
      <c r="L200" s="75">
        <v>12</v>
      </c>
      <c r="R200" s="4">
        <v>1</v>
      </c>
      <c r="S200" s="4">
        <v>1</v>
      </c>
      <c r="T200" s="4">
        <v>1</v>
      </c>
      <c r="U200" s="4">
        <v>1</v>
      </c>
      <c r="W200" s="4">
        <v>1</v>
      </c>
      <c r="Z200" s="4">
        <v>1</v>
      </c>
      <c r="AP200" s="5"/>
      <c r="AR200" s="4">
        <f t="shared" si="20"/>
        <v>6</v>
      </c>
      <c r="AS200" s="4">
        <f t="shared" si="21"/>
        <v>6</v>
      </c>
      <c r="AT200" s="32">
        <f t="shared" si="22"/>
        <v>146.4</v>
      </c>
    </row>
    <row r="201" customHeight="1" spans="1:48">
      <c r="A201" s="4">
        <v>200</v>
      </c>
      <c r="B201" s="4" t="s">
        <v>437</v>
      </c>
      <c r="C201" s="5">
        <v>13297975625</v>
      </c>
      <c r="D201" s="65">
        <v>46136</v>
      </c>
      <c r="E201" s="65">
        <v>46235</v>
      </c>
      <c r="F201" s="4">
        <v>588</v>
      </c>
      <c r="G201" s="4">
        <v>20</v>
      </c>
      <c r="H201" s="66">
        <f t="shared" si="19"/>
        <v>29.4</v>
      </c>
      <c r="I201" s="6" t="s">
        <v>160</v>
      </c>
      <c r="J201" s="6" t="s">
        <v>438</v>
      </c>
      <c r="K201" s="6" t="s">
        <v>439</v>
      </c>
      <c r="L201" s="4">
        <v>14</v>
      </c>
      <c r="R201" s="4">
        <v>1</v>
      </c>
      <c r="S201" s="4">
        <v>1</v>
      </c>
      <c r="T201" s="4">
        <v>1</v>
      </c>
      <c r="U201" s="4">
        <v>1</v>
      </c>
      <c r="W201" s="4">
        <v>1</v>
      </c>
      <c r="X201" s="4">
        <v>1</v>
      </c>
      <c r="Y201" s="4">
        <v>1</v>
      </c>
      <c r="Z201" s="4">
        <v>1</v>
      </c>
      <c r="AA201" s="26">
        <v>1</v>
      </c>
      <c r="AP201" s="5"/>
      <c r="AR201" s="4">
        <f t="shared" ref="AR201:AR264" si="23">SUM(M201:AQ201)</f>
        <v>9</v>
      </c>
      <c r="AS201" s="4">
        <f t="shared" ref="AS201:AS264" si="24">L201-AR201</f>
        <v>5</v>
      </c>
      <c r="AT201" s="32">
        <f t="shared" ref="AT201:AT264" si="25">AS201*H201</f>
        <v>147</v>
      </c>
    </row>
    <row r="202" s="9" customFormat="1" customHeight="1" spans="1:48">
      <c r="A202" s="4">
        <v>201</v>
      </c>
      <c r="B202" s="9" t="s">
        <v>440</v>
      </c>
      <c r="C202" s="10">
        <v>15172469238</v>
      </c>
      <c r="D202" s="71">
        <v>46133</v>
      </c>
      <c r="E202" s="71">
        <v>46171</v>
      </c>
      <c r="F202" s="9">
        <v>488</v>
      </c>
      <c r="G202" s="9">
        <v>20</v>
      </c>
      <c r="H202" s="72">
        <f t="shared" si="19"/>
        <v>24.4</v>
      </c>
      <c r="I202" s="73" t="s">
        <v>240</v>
      </c>
      <c r="J202" s="73" t="s">
        <v>441</v>
      </c>
      <c r="K202" s="9"/>
      <c r="L202" s="9">
        <v>7</v>
      </c>
      <c r="M202" s="9"/>
      <c r="N202" s="9"/>
      <c r="O202" s="9"/>
      <c r="P202" s="9"/>
      <c r="Q202" s="9"/>
      <c r="R202" s="9">
        <v>2</v>
      </c>
      <c r="S202" s="9">
        <v>2</v>
      </c>
      <c r="T202" s="9">
        <v>1</v>
      </c>
      <c r="U202" s="9">
        <v>1</v>
      </c>
      <c r="V202" s="9"/>
      <c r="W202" s="9">
        <v>1</v>
      </c>
      <c r="X202" s="4"/>
      <c r="Y202" s="4"/>
      <c r="Z202" s="4"/>
      <c r="AA202" s="26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5"/>
      <c r="AQ202" s="5"/>
      <c r="AR202" s="9">
        <f t="shared" si="23"/>
        <v>7</v>
      </c>
      <c r="AS202" s="9">
        <f t="shared" si="24"/>
        <v>0</v>
      </c>
      <c r="AT202" s="51">
        <f t="shared" si="25"/>
        <v>0</v>
      </c>
    </row>
    <row r="203" customHeight="1" spans="1:48">
      <c r="A203" s="4">
        <v>202</v>
      </c>
      <c r="B203" s="4" t="s">
        <v>442</v>
      </c>
      <c r="C203" s="5">
        <v>13972081761</v>
      </c>
      <c r="D203" s="65">
        <v>46134</v>
      </c>
      <c r="E203" s="65">
        <v>46172</v>
      </c>
      <c r="F203" s="4">
        <v>488</v>
      </c>
      <c r="G203" s="4">
        <v>20</v>
      </c>
      <c r="H203" s="66">
        <f t="shared" si="19"/>
        <v>24.4</v>
      </c>
      <c r="I203" s="6" t="s">
        <v>240</v>
      </c>
      <c r="J203" s="6" t="s">
        <v>416</v>
      </c>
      <c r="L203" s="4">
        <v>16</v>
      </c>
      <c r="T203" s="4">
        <v>1</v>
      </c>
      <c r="U203" s="4">
        <v>2</v>
      </c>
      <c r="W203" s="4">
        <v>1</v>
      </c>
      <c r="Y203" s="4">
        <v>2</v>
      </c>
      <c r="AA203" s="26">
        <v>1</v>
      </c>
      <c r="AP203" s="6"/>
      <c r="AR203" s="4">
        <f t="shared" si="23"/>
        <v>7</v>
      </c>
      <c r="AS203" s="4">
        <f t="shared" si="24"/>
        <v>9</v>
      </c>
      <c r="AT203" s="32">
        <f t="shared" si="25"/>
        <v>219.6</v>
      </c>
    </row>
    <row r="204" customHeight="1" spans="1:48">
      <c r="A204" s="4">
        <v>203</v>
      </c>
      <c r="B204" s="4" t="s">
        <v>443</v>
      </c>
      <c r="C204" s="5">
        <v>18627086000</v>
      </c>
      <c r="D204" s="65">
        <v>46134</v>
      </c>
      <c r="E204" s="65">
        <v>46172</v>
      </c>
      <c r="F204" s="4">
        <v>488</v>
      </c>
      <c r="G204" s="4">
        <v>20</v>
      </c>
      <c r="H204" s="66">
        <f t="shared" si="19"/>
        <v>24.4</v>
      </c>
      <c r="I204" s="6" t="s">
        <v>240</v>
      </c>
      <c r="J204" s="6" t="s">
        <v>416</v>
      </c>
      <c r="L204" s="4">
        <v>14</v>
      </c>
      <c r="S204" s="4">
        <v>1</v>
      </c>
      <c r="Y204" s="4">
        <v>1</v>
      </c>
      <c r="AA204" s="26">
        <v>2</v>
      </c>
      <c r="AP204" s="6"/>
      <c r="AR204" s="4">
        <f t="shared" si="23"/>
        <v>4</v>
      </c>
      <c r="AS204" s="4">
        <f t="shared" si="24"/>
        <v>10</v>
      </c>
      <c r="AT204" s="32">
        <f t="shared" si="25"/>
        <v>244</v>
      </c>
    </row>
    <row r="205" s="9" customFormat="1" customHeight="1" spans="1:48">
      <c r="A205" s="4">
        <v>204</v>
      </c>
      <c r="B205" s="73" t="s">
        <v>444</v>
      </c>
      <c r="C205" s="10">
        <v>13677271041</v>
      </c>
      <c r="D205" s="71">
        <v>46134</v>
      </c>
      <c r="E205" s="71">
        <v>46172</v>
      </c>
      <c r="F205" s="9">
        <v>488</v>
      </c>
      <c r="G205" s="9">
        <v>20</v>
      </c>
      <c r="H205" s="72">
        <f t="shared" si="19"/>
        <v>24.4</v>
      </c>
      <c r="I205" s="73" t="s">
        <v>240</v>
      </c>
      <c r="J205" s="73" t="s">
        <v>416</v>
      </c>
      <c r="K205" s="9"/>
      <c r="L205" s="9">
        <v>5</v>
      </c>
      <c r="M205" s="9"/>
      <c r="N205" s="9"/>
      <c r="O205" s="9"/>
      <c r="P205" s="9"/>
      <c r="Q205" s="9"/>
      <c r="R205" s="9">
        <v>1</v>
      </c>
      <c r="S205" s="9">
        <v>1</v>
      </c>
      <c r="T205" s="9"/>
      <c r="U205" s="9">
        <v>1</v>
      </c>
      <c r="V205" s="9"/>
      <c r="W205" s="9">
        <v>1</v>
      </c>
      <c r="X205" s="9">
        <v>1</v>
      </c>
      <c r="Y205" s="9"/>
      <c r="Z205" s="9"/>
      <c r="AA205" s="26"/>
      <c r="AB205" s="4"/>
      <c r="AC205" s="4"/>
      <c r="AP205" s="73"/>
      <c r="AR205" s="9">
        <f t="shared" si="23"/>
        <v>5</v>
      </c>
      <c r="AS205" s="9">
        <f t="shared" si="24"/>
        <v>0</v>
      </c>
      <c r="AT205" s="51">
        <f t="shared" si="25"/>
        <v>0</v>
      </c>
      <c r="AV205" s="9" t="s">
        <v>445</v>
      </c>
    </row>
    <row r="206" customHeight="1" spans="1:48">
      <c r="A206" s="4">
        <v>205</v>
      </c>
      <c r="B206" s="6" t="s">
        <v>446</v>
      </c>
      <c r="C206" s="5">
        <v>15972103728</v>
      </c>
      <c r="D206" s="65">
        <v>46134</v>
      </c>
      <c r="E206" s="65">
        <v>46172</v>
      </c>
      <c r="F206" s="4">
        <v>488</v>
      </c>
      <c r="G206" s="4">
        <v>20</v>
      </c>
      <c r="H206" s="66">
        <f t="shared" si="19"/>
        <v>24.4</v>
      </c>
      <c r="I206" s="6" t="s">
        <v>240</v>
      </c>
      <c r="J206" s="6" t="s">
        <v>416</v>
      </c>
      <c r="L206" s="4">
        <v>13</v>
      </c>
      <c r="T206" s="4">
        <v>1</v>
      </c>
      <c r="U206" s="4">
        <v>1</v>
      </c>
      <c r="X206" s="4">
        <v>1</v>
      </c>
      <c r="Z206" s="4">
        <v>1</v>
      </c>
      <c r="AA206" s="26">
        <v>1</v>
      </c>
      <c r="AP206" s="5"/>
      <c r="AR206" s="4">
        <f t="shared" si="23"/>
        <v>5</v>
      </c>
      <c r="AS206" s="4">
        <f t="shared" si="24"/>
        <v>8</v>
      </c>
      <c r="AT206" s="32">
        <f t="shared" si="25"/>
        <v>195.2</v>
      </c>
    </row>
    <row r="207" customHeight="1" spans="1:48">
      <c r="A207" s="4">
        <v>206</v>
      </c>
      <c r="B207" s="6" t="s">
        <v>447</v>
      </c>
      <c r="C207" s="5">
        <v>13826326299</v>
      </c>
      <c r="D207" s="65">
        <v>46134</v>
      </c>
      <c r="E207" s="65">
        <v>46172</v>
      </c>
      <c r="F207" s="4">
        <v>488</v>
      </c>
      <c r="G207" s="4">
        <v>20</v>
      </c>
      <c r="H207" s="66">
        <f t="shared" si="19"/>
        <v>24.4</v>
      </c>
      <c r="I207" s="6" t="s">
        <v>240</v>
      </c>
      <c r="J207" s="6" t="s">
        <v>416</v>
      </c>
      <c r="L207" s="4">
        <v>15</v>
      </c>
      <c r="S207" s="4">
        <v>1</v>
      </c>
      <c r="T207" s="4">
        <v>1</v>
      </c>
      <c r="U207" s="4">
        <v>1</v>
      </c>
      <c r="W207" s="4">
        <v>1</v>
      </c>
      <c r="X207" s="4">
        <v>1</v>
      </c>
      <c r="Z207" s="4">
        <v>1</v>
      </c>
      <c r="AA207" s="26">
        <v>1</v>
      </c>
      <c r="AP207" s="6"/>
      <c r="AR207" s="4">
        <f t="shared" si="23"/>
        <v>7</v>
      </c>
      <c r="AS207" s="4">
        <f t="shared" si="24"/>
        <v>8</v>
      </c>
      <c r="AT207" s="32">
        <f t="shared" si="25"/>
        <v>195.2</v>
      </c>
    </row>
    <row r="208" customHeight="1" spans="1:48">
      <c r="A208" s="4">
        <v>207</v>
      </c>
      <c r="B208" s="6" t="s">
        <v>448</v>
      </c>
      <c r="C208" s="5">
        <v>17720344095</v>
      </c>
      <c r="D208" s="65">
        <v>46134</v>
      </c>
      <c r="E208" s="65">
        <v>46172</v>
      </c>
      <c r="F208" s="4">
        <v>488</v>
      </c>
      <c r="G208" s="4">
        <v>20</v>
      </c>
      <c r="H208" s="66">
        <f t="shared" si="19"/>
        <v>24.4</v>
      </c>
      <c r="I208" s="6" t="s">
        <v>240</v>
      </c>
      <c r="J208" s="6" t="s">
        <v>416</v>
      </c>
      <c r="L208" s="4">
        <v>11</v>
      </c>
      <c r="R208" s="4">
        <v>1</v>
      </c>
      <c r="T208" s="4">
        <v>1</v>
      </c>
      <c r="U208" s="4">
        <v>1</v>
      </c>
      <c r="W208" s="4">
        <v>1</v>
      </c>
      <c r="X208" s="4">
        <v>1</v>
      </c>
      <c r="Z208" s="4">
        <v>1</v>
      </c>
      <c r="AA208" s="26">
        <v>1</v>
      </c>
      <c r="AP208" s="5"/>
      <c r="AR208" s="4">
        <f t="shared" si="23"/>
        <v>7</v>
      </c>
      <c r="AS208" s="4">
        <f t="shared" si="24"/>
        <v>4</v>
      </c>
      <c r="AT208" s="32">
        <f t="shared" si="25"/>
        <v>97.6</v>
      </c>
    </row>
    <row r="209" s="11" customFormat="1" customHeight="1" spans="1:47">
      <c r="A209" s="4">
        <v>208</v>
      </c>
      <c r="B209" s="11" t="s">
        <v>449</v>
      </c>
      <c r="C209" s="12">
        <v>13554249182</v>
      </c>
      <c r="D209" s="65">
        <v>46134</v>
      </c>
      <c r="E209" s="65">
        <v>46172</v>
      </c>
      <c r="F209" s="4">
        <v>488</v>
      </c>
      <c r="G209" s="4">
        <v>20</v>
      </c>
      <c r="H209" s="66">
        <f t="shared" si="19"/>
        <v>24.4</v>
      </c>
      <c r="I209" s="6" t="s">
        <v>240</v>
      </c>
      <c r="J209" s="11" t="s">
        <v>450</v>
      </c>
      <c r="K209" s="6" t="s">
        <v>416</v>
      </c>
      <c r="L209" s="69">
        <v>16</v>
      </c>
      <c r="M209" s="11"/>
      <c r="N209" s="11"/>
      <c r="O209" s="11"/>
      <c r="P209" s="11"/>
      <c r="Q209" s="11"/>
      <c r="R209" s="4">
        <v>1</v>
      </c>
      <c r="S209" s="11"/>
      <c r="T209" s="4">
        <v>1</v>
      </c>
      <c r="U209" s="4"/>
      <c r="V209" s="4"/>
      <c r="W209" s="4">
        <v>1</v>
      </c>
      <c r="X209" s="4">
        <v>1</v>
      </c>
      <c r="Y209" s="4">
        <v>1</v>
      </c>
      <c r="Z209" s="4">
        <v>1</v>
      </c>
      <c r="AA209" s="26"/>
      <c r="AB209" s="4"/>
      <c r="AC209" s="4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6"/>
      <c r="AQ209" s="11"/>
      <c r="AR209" s="4">
        <f t="shared" si="23"/>
        <v>6</v>
      </c>
      <c r="AS209" s="4">
        <f t="shared" si="24"/>
        <v>10</v>
      </c>
      <c r="AT209" s="81">
        <f t="shared" si="25"/>
        <v>244</v>
      </c>
      <c r="AU209" s="11">
        <v>124.9</v>
      </c>
    </row>
    <row r="210" customHeight="1" spans="1:47">
      <c r="A210" s="4">
        <v>209</v>
      </c>
      <c r="B210" s="4" t="s">
        <v>451</v>
      </c>
      <c r="C210" s="5">
        <v>13597676995</v>
      </c>
      <c r="D210" s="65">
        <v>46135</v>
      </c>
      <c r="E210" s="65">
        <v>46204</v>
      </c>
      <c r="F210" s="4">
        <v>488</v>
      </c>
      <c r="G210" s="4">
        <v>20</v>
      </c>
      <c r="H210" s="66">
        <f t="shared" si="19"/>
        <v>24.4</v>
      </c>
      <c r="I210" s="6" t="s">
        <v>240</v>
      </c>
      <c r="J210" s="6" t="s">
        <v>352</v>
      </c>
      <c r="L210" s="4">
        <v>16</v>
      </c>
      <c r="AP210" s="5"/>
      <c r="AR210" s="4">
        <f t="shared" si="23"/>
        <v>0</v>
      </c>
      <c r="AS210" s="4">
        <f t="shared" si="24"/>
        <v>16</v>
      </c>
      <c r="AT210" s="32">
        <f t="shared" si="25"/>
        <v>390.4</v>
      </c>
    </row>
    <row r="211" customHeight="1" spans="1:47">
      <c r="A211" s="4">
        <v>210</v>
      </c>
      <c r="B211" s="4" t="s">
        <v>452</v>
      </c>
      <c r="C211" s="5">
        <v>18271818513</v>
      </c>
      <c r="D211" s="65">
        <v>46135</v>
      </c>
      <c r="E211" s="65">
        <v>46173</v>
      </c>
      <c r="F211" s="4">
        <v>488</v>
      </c>
      <c r="G211" s="4">
        <v>20</v>
      </c>
      <c r="H211" s="66">
        <f t="shared" si="19"/>
        <v>24.4</v>
      </c>
      <c r="I211" s="6" t="s">
        <v>240</v>
      </c>
      <c r="J211" s="6" t="s">
        <v>352</v>
      </c>
      <c r="L211" s="4">
        <v>14</v>
      </c>
      <c r="R211" s="4">
        <v>1</v>
      </c>
      <c r="S211" s="4">
        <v>1</v>
      </c>
      <c r="T211" s="4">
        <v>1</v>
      </c>
      <c r="U211" s="4">
        <v>1</v>
      </c>
      <c r="X211" s="4">
        <v>1</v>
      </c>
      <c r="Z211" s="4">
        <v>1</v>
      </c>
      <c r="AA211" s="26">
        <v>1</v>
      </c>
      <c r="AP211" s="5"/>
      <c r="AR211" s="4">
        <f t="shared" si="23"/>
        <v>7</v>
      </c>
      <c r="AS211" s="4">
        <f t="shared" si="24"/>
        <v>7</v>
      </c>
      <c r="AT211" s="32">
        <f t="shared" si="25"/>
        <v>170.8</v>
      </c>
    </row>
    <row r="212" customHeight="1" spans="1:47">
      <c r="A212" s="4">
        <v>211</v>
      </c>
      <c r="B212" s="4" t="s">
        <v>453</v>
      </c>
      <c r="C212" s="5">
        <v>15607120700</v>
      </c>
      <c r="D212" s="65">
        <v>46135</v>
      </c>
      <c r="E212" s="65">
        <v>46173</v>
      </c>
      <c r="F212" s="4">
        <v>488</v>
      </c>
      <c r="G212" s="4">
        <v>20</v>
      </c>
      <c r="H212" s="66">
        <f t="shared" si="19"/>
        <v>24.4</v>
      </c>
      <c r="I212" s="6" t="s">
        <v>240</v>
      </c>
      <c r="J212" s="6" t="s">
        <v>352</v>
      </c>
      <c r="L212" s="4">
        <v>11</v>
      </c>
      <c r="AP212" s="6"/>
      <c r="AR212" s="4">
        <f t="shared" si="23"/>
        <v>0</v>
      </c>
      <c r="AS212" s="4">
        <f t="shared" si="24"/>
        <v>11</v>
      </c>
      <c r="AT212" s="32">
        <f t="shared" si="25"/>
        <v>268.4</v>
      </c>
    </row>
    <row r="213" customHeight="1" spans="1:47">
      <c r="A213" s="4">
        <v>212</v>
      </c>
      <c r="B213" s="4" t="s">
        <v>454</v>
      </c>
      <c r="C213" s="5">
        <v>13281212983</v>
      </c>
      <c r="D213" s="65">
        <v>46135</v>
      </c>
      <c r="E213" s="65">
        <v>46173</v>
      </c>
      <c r="F213" s="4">
        <v>488</v>
      </c>
      <c r="G213" s="4">
        <v>20</v>
      </c>
      <c r="H213" s="66">
        <f t="shared" si="19"/>
        <v>24.4</v>
      </c>
      <c r="I213" s="6" t="s">
        <v>240</v>
      </c>
      <c r="J213" s="6" t="s">
        <v>352</v>
      </c>
      <c r="L213" s="4">
        <v>20</v>
      </c>
      <c r="S213" s="4">
        <v>1</v>
      </c>
      <c r="T213" s="4">
        <v>1</v>
      </c>
      <c r="U213" s="4">
        <v>1</v>
      </c>
      <c r="AP213" s="6"/>
      <c r="AR213" s="4">
        <f t="shared" si="23"/>
        <v>3</v>
      </c>
      <c r="AS213" s="4">
        <f t="shared" si="24"/>
        <v>17</v>
      </c>
      <c r="AT213" s="32">
        <f t="shared" si="25"/>
        <v>414.8</v>
      </c>
    </row>
    <row r="214" customHeight="1" spans="1:47">
      <c r="A214" s="4">
        <v>213</v>
      </c>
      <c r="B214" s="6" t="s">
        <v>455</v>
      </c>
      <c r="C214" s="5">
        <v>13409697483</v>
      </c>
      <c r="D214" s="65">
        <v>46135</v>
      </c>
      <c r="E214" s="65">
        <v>46173</v>
      </c>
      <c r="F214" s="4">
        <v>488</v>
      </c>
      <c r="G214" s="4">
        <v>20</v>
      </c>
      <c r="H214" s="66">
        <f t="shared" si="19"/>
        <v>24.4</v>
      </c>
      <c r="I214" s="6" t="s">
        <v>240</v>
      </c>
      <c r="J214" s="6" t="s">
        <v>352</v>
      </c>
      <c r="L214" s="4">
        <v>16</v>
      </c>
      <c r="AA214" s="26">
        <v>1</v>
      </c>
      <c r="AP214" s="6"/>
      <c r="AR214" s="4">
        <f t="shared" si="23"/>
        <v>1</v>
      </c>
      <c r="AS214" s="4">
        <f t="shared" si="24"/>
        <v>15</v>
      </c>
      <c r="AT214" s="32">
        <f t="shared" si="25"/>
        <v>366</v>
      </c>
    </row>
    <row r="215" customHeight="1" spans="1:47">
      <c r="A215" s="4">
        <v>214</v>
      </c>
      <c r="B215" s="6" t="s">
        <v>456</v>
      </c>
      <c r="C215" s="5">
        <v>13123610797</v>
      </c>
      <c r="D215" s="65">
        <v>46135</v>
      </c>
      <c r="E215" s="65">
        <v>46173</v>
      </c>
      <c r="F215" s="4">
        <v>488</v>
      </c>
      <c r="G215" s="4">
        <v>20</v>
      </c>
      <c r="H215" s="66">
        <f t="shared" ref="H215:H278" si="26">F215/G215</f>
        <v>24.4</v>
      </c>
      <c r="I215" s="6" t="s">
        <v>240</v>
      </c>
      <c r="J215" s="6" t="s">
        <v>352</v>
      </c>
      <c r="L215" s="4">
        <v>16</v>
      </c>
      <c r="S215" s="4">
        <v>1</v>
      </c>
      <c r="X215" s="4">
        <v>1</v>
      </c>
      <c r="Z215" s="4">
        <v>1</v>
      </c>
      <c r="AA215" s="26">
        <v>1</v>
      </c>
      <c r="AP215" s="6"/>
      <c r="AR215" s="4">
        <f t="shared" si="23"/>
        <v>4</v>
      </c>
      <c r="AS215" s="4">
        <f t="shared" si="24"/>
        <v>12</v>
      </c>
      <c r="AT215" s="32">
        <f t="shared" si="25"/>
        <v>292.8</v>
      </c>
    </row>
    <row r="216" customHeight="1" spans="1:47">
      <c r="A216" s="4">
        <v>215</v>
      </c>
      <c r="B216" s="6" t="s">
        <v>457</v>
      </c>
      <c r="C216" s="5">
        <v>17307230923</v>
      </c>
      <c r="D216" s="65">
        <v>46136</v>
      </c>
      <c r="E216" s="65">
        <v>46174</v>
      </c>
      <c r="F216" s="4">
        <v>488</v>
      </c>
      <c r="G216" s="4">
        <v>20</v>
      </c>
      <c r="H216" s="66">
        <f t="shared" si="26"/>
        <v>24.4</v>
      </c>
      <c r="I216" s="6" t="s">
        <v>240</v>
      </c>
      <c r="J216" s="6" t="s">
        <v>422</v>
      </c>
      <c r="L216" s="4">
        <v>14</v>
      </c>
      <c r="R216" s="4">
        <v>1</v>
      </c>
      <c r="S216" s="4">
        <v>1</v>
      </c>
      <c r="T216" s="4">
        <v>1</v>
      </c>
      <c r="U216" s="4">
        <v>1</v>
      </c>
      <c r="X216" s="4">
        <v>1</v>
      </c>
      <c r="Y216" s="4">
        <v>1</v>
      </c>
      <c r="AA216" s="26">
        <v>1</v>
      </c>
      <c r="AP216" s="6"/>
      <c r="AR216" s="4">
        <f t="shared" si="23"/>
        <v>7</v>
      </c>
      <c r="AS216" s="4">
        <f t="shared" si="24"/>
        <v>7</v>
      </c>
      <c r="AT216" s="32">
        <f t="shared" si="25"/>
        <v>170.8</v>
      </c>
    </row>
    <row r="217" s="11" customFormat="1" customHeight="1" spans="1:47">
      <c r="A217" s="4">
        <v>216</v>
      </c>
      <c r="B217" s="11" t="s">
        <v>458</v>
      </c>
      <c r="C217" s="12">
        <v>15679161934</v>
      </c>
      <c r="D217" s="65">
        <v>46136</v>
      </c>
      <c r="E217" s="65">
        <v>46174</v>
      </c>
      <c r="F217" s="4">
        <v>488</v>
      </c>
      <c r="G217" s="4">
        <v>20</v>
      </c>
      <c r="H217" s="66">
        <f t="shared" si="26"/>
        <v>24.4</v>
      </c>
      <c r="I217" s="6" t="s">
        <v>240</v>
      </c>
      <c r="J217" s="11" t="s">
        <v>459</v>
      </c>
      <c r="K217" s="6" t="s">
        <v>422</v>
      </c>
      <c r="L217" s="11">
        <v>14</v>
      </c>
      <c r="M217" s="11"/>
      <c r="N217" s="11"/>
      <c r="O217" s="11"/>
      <c r="P217" s="11"/>
      <c r="Q217" s="11"/>
      <c r="R217" s="4">
        <v>2</v>
      </c>
      <c r="S217" s="4"/>
      <c r="T217" s="4">
        <v>1</v>
      </c>
      <c r="U217" s="4"/>
      <c r="V217" s="4"/>
      <c r="W217" s="4"/>
      <c r="X217" s="4">
        <v>2</v>
      </c>
      <c r="Y217" s="4"/>
      <c r="Z217" s="4"/>
      <c r="AA217" s="26">
        <v>2</v>
      </c>
      <c r="AB217" s="4"/>
      <c r="AC217" s="4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6"/>
      <c r="AQ217" s="11"/>
      <c r="AR217" s="11">
        <f t="shared" si="23"/>
        <v>7</v>
      </c>
      <c r="AS217" s="11">
        <f t="shared" si="24"/>
        <v>7</v>
      </c>
      <c r="AT217" s="81">
        <f t="shared" si="25"/>
        <v>170.8</v>
      </c>
    </row>
    <row r="218" customHeight="1" spans="1:47">
      <c r="A218" s="4">
        <v>217</v>
      </c>
      <c r="B218" s="6" t="s">
        <v>460</v>
      </c>
      <c r="C218" s="5">
        <v>18900717268</v>
      </c>
      <c r="D218" s="65">
        <v>46136</v>
      </c>
      <c r="E218" s="65">
        <v>46174</v>
      </c>
      <c r="F218" s="4">
        <v>488</v>
      </c>
      <c r="G218" s="4">
        <v>20</v>
      </c>
      <c r="H218" s="66">
        <f t="shared" si="26"/>
        <v>24.4</v>
      </c>
      <c r="I218" s="6" t="s">
        <v>240</v>
      </c>
      <c r="J218" s="6" t="s">
        <v>422</v>
      </c>
      <c r="L218" s="4">
        <v>13</v>
      </c>
      <c r="R218" s="4">
        <v>1</v>
      </c>
      <c r="S218" s="4">
        <v>1</v>
      </c>
      <c r="T218" s="4">
        <v>2</v>
      </c>
      <c r="U218" s="4">
        <v>1</v>
      </c>
      <c r="W218" s="4">
        <v>1</v>
      </c>
      <c r="X218" s="4">
        <v>2</v>
      </c>
      <c r="Y218" s="4">
        <v>1</v>
      </c>
      <c r="Z218" s="4">
        <v>1</v>
      </c>
      <c r="AP218" s="6"/>
      <c r="AR218" s="4">
        <f t="shared" si="23"/>
        <v>10</v>
      </c>
      <c r="AS218" s="4">
        <f t="shared" si="24"/>
        <v>3</v>
      </c>
      <c r="AT218" s="32">
        <f t="shared" si="25"/>
        <v>73.2</v>
      </c>
    </row>
    <row r="219" customHeight="1" spans="1:47">
      <c r="A219" s="4">
        <v>218</v>
      </c>
      <c r="B219" s="6" t="s">
        <v>461</v>
      </c>
      <c r="C219" s="5">
        <v>18805875414</v>
      </c>
      <c r="D219" s="65">
        <v>46136</v>
      </c>
      <c r="E219" s="65">
        <v>46174</v>
      </c>
      <c r="F219" s="4">
        <v>488</v>
      </c>
      <c r="G219" s="4">
        <v>20</v>
      </c>
      <c r="H219" s="66">
        <f t="shared" si="26"/>
        <v>24.4</v>
      </c>
      <c r="I219" s="6" t="s">
        <v>240</v>
      </c>
      <c r="J219" s="6" t="s">
        <v>422</v>
      </c>
      <c r="L219" s="4">
        <v>14</v>
      </c>
      <c r="S219" s="4">
        <v>1</v>
      </c>
      <c r="T219" s="4">
        <v>1</v>
      </c>
      <c r="W219" s="4">
        <v>1</v>
      </c>
      <c r="X219" s="4">
        <v>1</v>
      </c>
      <c r="Y219" s="4">
        <v>1</v>
      </c>
      <c r="Z219" s="4">
        <v>1</v>
      </c>
      <c r="AP219" s="6"/>
      <c r="AR219" s="4">
        <f t="shared" si="23"/>
        <v>6</v>
      </c>
      <c r="AS219" s="4">
        <f t="shared" si="24"/>
        <v>8</v>
      </c>
      <c r="AT219" s="32">
        <f t="shared" si="25"/>
        <v>195.2</v>
      </c>
    </row>
    <row r="220" customHeight="1" spans="1:47">
      <c r="A220" s="4">
        <v>219</v>
      </c>
      <c r="B220" s="6" t="s">
        <v>462</v>
      </c>
      <c r="C220" s="5">
        <v>13297992693</v>
      </c>
      <c r="D220" s="65">
        <v>46136</v>
      </c>
      <c r="E220" s="65">
        <v>46205</v>
      </c>
      <c r="F220" s="4">
        <v>488</v>
      </c>
      <c r="G220" s="4">
        <v>20</v>
      </c>
      <c r="H220" s="66">
        <f t="shared" si="26"/>
        <v>24.4</v>
      </c>
      <c r="I220" s="6" t="s">
        <v>240</v>
      </c>
      <c r="J220" s="6" t="s">
        <v>422</v>
      </c>
      <c r="L220" s="4">
        <v>11</v>
      </c>
      <c r="AP220" s="6"/>
      <c r="AR220" s="4">
        <f t="shared" si="23"/>
        <v>0</v>
      </c>
      <c r="AS220" s="4">
        <f t="shared" si="24"/>
        <v>11</v>
      </c>
      <c r="AT220" s="32">
        <f t="shared" si="25"/>
        <v>268.4</v>
      </c>
    </row>
    <row r="221" customHeight="1" spans="1:47">
      <c r="A221" s="4">
        <v>220</v>
      </c>
      <c r="B221" s="6" t="s">
        <v>463</v>
      </c>
      <c r="C221" s="5">
        <v>15171641253</v>
      </c>
      <c r="D221" s="65">
        <v>46136</v>
      </c>
      <c r="E221" s="65">
        <v>46174</v>
      </c>
      <c r="F221" s="4">
        <v>488</v>
      </c>
      <c r="G221" s="4">
        <v>20</v>
      </c>
      <c r="H221" s="66">
        <f t="shared" si="26"/>
        <v>24.4</v>
      </c>
      <c r="I221" s="6" t="s">
        <v>240</v>
      </c>
      <c r="J221" s="6" t="s">
        <v>422</v>
      </c>
      <c r="L221" s="4">
        <v>15</v>
      </c>
      <c r="R221" s="4">
        <v>1</v>
      </c>
      <c r="S221" s="4">
        <v>1</v>
      </c>
      <c r="T221" s="4">
        <v>1</v>
      </c>
      <c r="U221" s="4">
        <v>1</v>
      </c>
      <c r="W221" s="4">
        <v>1</v>
      </c>
      <c r="Y221" s="4">
        <v>1</v>
      </c>
      <c r="Z221" s="4">
        <v>1</v>
      </c>
      <c r="AP221" s="5"/>
      <c r="AR221" s="4">
        <f t="shared" si="23"/>
        <v>7</v>
      </c>
      <c r="AS221" s="4">
        <f t="shared" si="24"/>
        <v>8</v>
      </c>
      <c r="AT221" s="32">
        <f t="shared" si="25"/>
        <v>195.2</v>
      </c>
    </row>
    <row r="222" customHeight="1" spans="1:47">
      <c r="A222" s="4">
        <v>221</v>
      </c>
      <c r="B222" s="6" t="s">
        <v>464</v>
      </c>
      <c r="C222" s="5">
        <v>15771134645</v>
      </c>
      <c r="D222" s="65">
        <v>46137</v>
      </c>
      <c r="E222" s="65">
        <v>46175</v>
      </c>
      <c r="F222" s="4">
        <v>488</v>
      </c>
      <c r="G222" s="4">
        <v>20</v>
      </c>
      <c r="H222" s="66">
        <f t="shared" si="26"/>
        <v>24.4</v>
      </c>
      <c r="I222" s="6" t="s">
        <v>240</v>
      </c>
      <c r="J222" s="6" t="s">
        <v>434</v>
      </c>
      <c r="L222" s="4">
        <v>17</v>
      </c>
      <c r="R222" s="4">
        <v>2</v>
      </c>
      <c r="S222" s="4">
        <v>2</v>
      </c>
      <c r="T222" s="4">
        <v>1</v>
      </c>
      <c r="U222" s="4">
        <v>2</v>
      </c>
      <c r="W222" s="4">
        <v>2</v>
      </c>
      <c r="Z222" s="4">
        <v>1</v>
      </c>
      <c r="AA222" s="26">
        <v>2</v>
      </c>
      <c r="AP222" s="6"/>
      <c r="AR222" s="4">
        <f t="shared" si="23"/>
        <v>12</v>
      </c>
      <c r="AS222" s="4">
        <f t="shared" si="24"/>
        <v>5</v>
      </c>
      <c r="AT222" s="32">
        <f t="shared" si="25"/>
        <v>122</v>
      </c>
    </row>
    <row r="223" customHeight="1" spans="1:47">
      <c r="A223" s="4">
        <v>222</v>
      </c>
      <c r="B223" s="4" t="s">
        <v>465</v>
      </c>
      <c r="C223" s="5">
        <v>17671619261</v>
      </c>
      <c r="D223" s="65">
        <v>46137</v>
      </c>
      <c r="E223" s="65">
        <v>46236</v>
      </c>
      <c r="F223" s="4">
        <v>788</v>
      </c>
      <c r="G223" s="4">
        <v>30</v>
      </c>
      <c r="H223" s="66">
        <f t="shared" si="26"/>
        <v>26.2666666666667</v>
      </c>
      <c r="I223" s="6" t="s">
        <v>134</v>
      </c>
      <c r="J223" s="6" t="s">
        <v>466</v>
      </c>
      <c r="L223" s="4">
        <v>24</v>
      </c>
      <c r="R223" s="4">
        <v>2</v>
      </c>
      <c r="S223" s="4">
        <v>1</v>
      </c>
      <c r="T223" s="4">
        <v>2</v>
      </c>
      <c r="W223" s="4">
        <v>2</v>
      </c>
      <c r="X223" s="4">
        <v>1</v>
      </c>
      <c r="Y223" s="4">
        <v>2</v>
      </c>
      <c r="AA223" s="26">
        <v>2</v>
      </c>
      <c r="AP223" s="5"/>
      <c r="AR223" s="4">
        <f t="shared" si="23"/>
        <v>12</v>
      </c>
      <c r="AS223" s="4">
        <f t="shared" si="24"/>
        <v>12</v>
      </c>
      <c r="AT223" s="32">
        <f t="shared" si="25"/>
        <v>315.2</v>
      </c>
    </row>
    <row r="224" customHeight="1" spans="1:47">
      <c r="A224" s="4">
        <v>223</v>
      </c>
      <c r="B224" s="6" t="s">
        <v>467</v>
      </c>
      <c r="C224" s="5">
        <v>15827462926</v>
      </c>
      <c r="D224" s="65">
        <v>46139</v>
      </c>
      <c r="E224" s="65">
        <v>46177</v>
      </c>
      <c r="F224" s="4">
        <v>488</v>
      </c>
      <c r="G224" s="4">
        <v>20</v>
      </c>
      <c r="H224" s="66">
        <f t="shared" si="26"/>
        <v>24.4</v>
      </c>
      <c r="I224" s="6" t="s">
        <v>240</v>
      </c>
      <c r="J224" s="6" t="s">
        <v>468</v>
      </c>
      <c r="L224" s="4">
        <v>18</v>
      </c>
      <c r="S224" s="4">
        <v>3</v>
      </c>
      <c r="U224" s="4">
        <v>1</v>
      </c>
      <c r="X224" s="4">
        <v>1</v>
      </c>
      <c r="Y224" s="4">
        <v>2</v>
      </c>
      <c r="Z224" s="4">
        <v>2</v>
      </c>
      <c r="AA224" s="26">
        <v>1</v>
      </c>
      <c r="AP224" s="6"/>
      <c r="AR224" s="4">
        <f t="shared" si="23"/>
        <v>10</v>
      </c>
      <c r="AS224" s="4">
        <f t="shared" si="24"/>
        <v>8</v>
      </c>
      <c r="AT224" s="32">
        <f t="shared" si="25"/>
        <v>195.2</v>
      </c>
    </row>
    <row r="225" customHeight="1" spans="1:48">
      <c r="A225" s="4">
        <v>224</v>
      </c>
      <c r="B225" s="6" t="s">
        <v>469</v>
      </c>
      <c r="C225" s="5">
        <v>13307340057</v>
      </c>
      <c r="D225" s="65">
        <v>46139</v>
      </c>
      <c r="E225" s="65">
        <v>46177</v>
      </c>
      <c r="F225" s="4">
        <v>488</v>
      </c>
      <c r="G225" s="4">
        <v>20</v>
      </c>
      <c r="H225" s="66">
        <f t="shared" si="26"/>
        <v>24.4</v>
      </c>
      <c r="I225" s="6" t="s">
        <v>240</v>
      </c>
      <c r="J225" s="6" t="s">
        <v>468</v>
      </c>
      <c r="L225" s="4">
        <v>17</v>
      </c>
      <c r="R225" s="4">
        <v>1</v>
      </c>
      <c r="S225" s="4">
        <v>1</v>
      </c>
      <c r="W225" s="4">
        <v>1</v>
      </c>
      <c r="X225" s="4">
        <v>1</v>
      </c>
      <c r="Y225" s="4">
        <v>1</v>
      </c>
      <c r="AP225" s="6"/>
      <c r="AR225" s="4">
        <f t="shared" si="23"/>
        <v>5</v>
      </c>
      <c r="AS225" s="4">
        <f t="shared" si="24"/>
        <v>12</v>
      </c>
      <c r="AT225" s="32">
        <f t="shared" si="25"/>
        <v>292.8</v>
      </c>
    </row>
    <row r="226" s="11" customFormat="1" customHeight="1" spans="1:48">
      <c r="A226" s="4">
        <v>225</v>
      </c>
      <c r="B226" s="11" t="s">
        <v>470</v>
      </c>
      <c r="C226" s="12">
        <v>15688166232</v>
      </c>
      <c r="D226" s="65">
        <v>46139</v>
      </c>
      <c r="E226" s="65">
        <v>46177</v>
      </c>
      <c r="F226" s="11">
        <v>488</v>
      </c>
      <c r="G226" s="11">
        <v>20</v>
      </c>
      <c r="H226" s="68">
        <f t="shared" si="26"/>
        <v>24.4</v>
      </c>
      <c r="I226" s="6" t="s">
        <v>240</v>
      </c>
      <c r="J226" s="6" t="s">
        <v>274</v>
      </c>
      <c r="K226" s="6" t="s">
        <v>468</v>
      </c>
      <c r="L226" s="91">
        <v>18</v>
      </c>
      <c r="M226" s="11"/>
      <c r="N226" s="11"/>
      <c r="O226" s="11"/>
      <c r="P226" s="11"/>
      <c r="Q226" s="11"/>
      <c r="R226" s="4">
        <v>1</v>
      </c>
      <c r="S226" s="11">
        <v>1</v>
      </c>
      <c r="T226" s="4">
        <v>1</v>
      </c>
      <c r="U226" s="4">
        <v>1</v>
      </c>
      <c r="V226" s="4"/>
      <c r="W226" s="4"/>
      <c r="X226" s="4">
        <v>1</v>
      </c>
      <c r="Y226" s="4"/>
      <c r="Z226" s="4"/>
      <c r="AA226" s="26">
        <v>1</v>
      </c>
      <c r="AB226" s="4"/>
      <c r="AC226" s="4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6"/>
      <c r="AQ226" s="11"/>
      <c r="AR226" s="11">
        <f t="shared" si="23"/>
        <v>6</v>
      </c>
      <c r="AS226" s="11">
        <f t="shared" si="24"/>
        <v>12</v>
      </c>
      <c r="AT226" s="81">
        <f t="shared" si="25"/>
        <v>292.8</v>
      </c>
    </row>
    <row r="227" s="9" customFormat="1" customHeight="1" spans="1:48">
      <c r="A227" s="4">
        <v>226</v>
      </c>
      <c r="B227" s="73" t="s">
        <v>471</v>
      </c>
      <c r="C227" s="10">
        <v>19871512403</v>
      </c>
      <c r="D227" s="71">
        <v>46139</v>
      </c>
      <c r="E227" s="71">
        <v>46177</v>
      </c>
      <c r="F227" s="9">
        <v>488</v>
      </c>
      <c r="G227" s="9">
        <v>20</v>
      </c>
      <c r="H227" s="72">
        <f t="shared" si="26"/>
        <v>24.4</v>
      </c>
      <c r="I227" s="73" t="s">
        <v>240</v>
      </c>
      <c r="J227" s="73" t="s">
        <v>468</v>
      </c>
      <c r="K227" s="9"/>
      <c r="L227" s="9">
        <v>12</v>
      </c>
      <c r="M227" s="9"/>
      <c r="N227" s="9"/>
      <c r="O227" s="9"/>
      <c r="P227" s="9"/>
      <c r="Q227" s="9"/>
      <c r="R227" s="9">
        <v>2</v>
      </c>
      <c r="S227" s="9"/>
      <c r="T227" s="9"/>
      <c r="U227" s="9">
        <v>2</v>
      </c>
      <c r="V227" s="9"/>
      <c r="W227" s="9">
        <v>2</v>
      </c>
      <c r="X227" s="9">
        <v>2</v>
      </c>
      <c r="Y227" s="9">
        <v>2</v>
      </c>
      <c r="Z227" s="9">
        <v>2</v>
      </c>
      <c r="AA227" s="26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5"/>
      <c r="AQ227" s="5"/>
      <c r="AR227" s="9">
        <f t="shared" si="23"/>
        <v>12</v>
      </c>
      <c r="AS227" s="9">
        <f t="shared" si="24"/>
        <v>0</v>
      </c>
      <c r="AT227" s="51">
        <f t="shared" si="25"/>
        <v>0</v>
      </c>
    </row>
    <row r="228" s="11" customFormat="1" customHeight="1" spans="1:48">
      <c r="A228" s="4">
        <v>227</v>
      </c>
      <c r="B228" s="6" t="s">
        <v>472</v>
      </c>
      <c r="C228" s="12">
        <v>15860576296</v>
      </c>
      <c r="D228" s="65">
        <v>46139</v>
      </c>
      <c r="E228" s="65">
        <v>46238</v>
      </c>
      <c r="F228" s="4">
        <v>788</v>
      </c>
      <c r="G228" s="4">
        <v>30</v>
      </c>
      <c r="H228" s="66">
        <f t="shared" si="26"/>
        <v>26.2666666666667</v>
      </c>
      <c r="I228" s="6" t="s">
        <v>134</v>
      </c>
      <c r="J228" s="11" t="s">
        <v>473</v>
      </c>
      <c r="K228" s="6" t="s">
        <v>474</v>
      </c>
      <c r="L228" s="69">
        <v>26</v>
      </c>
      <c r="M228" s="11"/>
      <c r="N228" s="11"/>
      <c r="O228" s="11"/>
      <c r="P228" s="11"/>
      <c r="Q228" s="11"/>
      <c r="R228" s="4">
        <v>1</v>
      </c>
      <c r="S228" s="11">
        <v>1</v>
      </c>
      <c r="T228" s="4">
        <v>1</v>
      </c>
      <c r="U228" s="4"/>
      <c r="V228" s="4"/>
      <c r="W228" s="4">
        <v>1</v>
      </c>
      <c r="X228" s="11"/>
      <c r="Y228" s="4">
        <v>1</v>
      </c>
      <c r="Z228" s="4"/>
      <c r="AA228" s="26">
        <v>1</v>
      </c>
      <c r="AB228" s="4"/>
      <c r="AC228" s="4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5"/>
      <c r="AQ228" s="11"/>
      <c r="AR228" s="11">
        <f t="shared" si="23"/>
        <v>6</v>
      </c>
      <c r="AS228" s="11">
        <f t="shared" si="24"/>
        <v>20</v>
      </c>
      <c r="AT228" s="81">
        <f t="shared" si="25"/>
        <v>525.333333333334</v>
      </c>
    </row>
    <row r="229" customHeight="1" spans="1:48">
      <c r="A229" s="4">
        <v>228</v>
      </c>
      <c r="B229" s="6" t="s">
        <v>475</v>
      </c>
      <c r="C229" s="5">
        <v>18671490941</v>
      </c>
      <c r="D229" s="65">
        <v>46140</v>
      </c>
      <c r="E229" s="65">
        <v>46178</v>
      </c>
      <c r="F229" s="4">
        <v>488</v>
      </c>
      <c r="G229" s="4">
        <v>20</v>
      </c>
      <c r="H229" s="66">
        <f t="shared" si="26"/>
        <v>24.4</v>
      </c>
      <c r="I229" s="6" t="s">
        <v>240</v>
      </c>
      <c r="J229" s="6" t="s">
        <v>436</v>
      </c>
      <c r="L229" s="4">
        <v>17</v>
      </c>
      <c r="S229" s="4">
        <v>1</v>
      </c>
      <c r="T229" s="4">
        <v>1</v>
      </c>
      <c r="U229" s="4">
        <v>1</v>
      </c>
      <c r="W229" s="4">
        <v>1</v>
      </c>
      <c r="X229" s="4">
        <v>1</v>
      </c>
      <c r="Y229" s="4">
        <v>1</v>
      </c>
      <c r="AP229" s="5"/>
      <c r="AR229" s="4">
        <f t="shared" si="23"/>
        <v>6</v>
      </c>
      <c r="AS229" s="4">
        <f t="shared" si="24"/>
        <v>11</v>
      </c>
      <c r="AT229" s="32">
        <f t="shared" si="25"/>
        <v>268.4</v>
      </c>
    </row>
    <row r="230" customHeight="1" spans="1:48">
      <c r="A230" s="4">
        <v>229</v>
      </c>
      <c r="B230" s="4" t="s">
        <v>476</v>
      </c>
      <c r="C230" s="5">
        <v>15927582770</v>
      </c>
      <c r="D230" s="65">
        <v>46140</v>
      </c>
      <c r="E230" s="65">
        <v>46178</v>
      </c>
      <c r="F230" s="4">
        <v>488</v>
      </c>
      <c r="G230" s="4">
        <v>20</v>
      </c>
      <c r="H230" s="66">
        <f t="shared" si="26"/>
        <v>24.4</v>
      </c>
      <c r="I230" s="6" t="s">
        <v>240</v>
      </c>
      <c r="J230" s="6" t="s">
        <v>436</v>
      </c>
      <c r="L230" s="4">
        <v>14</v>
      </c>
      <c r="R230" s="4">
        <v>1</v>
      </c>
      <c r="S230" s="4">
        <v>2</v>
      </c>
      <c r="T230" s="4">
        <v>2</v>
      </c>
      <c r="AP230" s="5"/>
      <c r="AQ230" s="5"/>
      <c r="AR230" s="4">
        <f t="shared" si="23"/>
        <v>5</v>
      </c>
      <c r="AS230" s="4">
        <f t="shared" si="24"/>
        <v>9</v>
      </c>
      <c r="AT230" s="32">
        <f t="shared" si="25"/>
        <v>219.6</v>
      </c>
    </row>
    <row r="231" customHeight="1" spans="1:48">
      <c r="A231" s="4">
        <v>230</v>
      </c>
      <c r="B231" s="4" t="s">
        <v>477</v>
      </c>
      <c r="C231" s="5">
        <v>18327034024</v>
      </c>
      <c r="D231" s="65">
        <v>46140</v>
      </c>
      <c r="E231" s="65">
        <v>46178</v>
      </c>
      <c r="F231" s="4">
        <v>488</v>
      </c>
      <c r="G231" s="4">
        <v>20</v>
      </c>
      <c r="H231" s="66">
        <f t="shared" si="26"/>
        <v>24.4</v>
      </c>
      <c r="I231" s="6" t="s">
        <v>240</v>
      </c>
      <c r="J231" s="6" t="s">
        <v>436</v>
      </c>
      <c r="L231" s="4">
        <v>15</v>
      </c>
      <c r="R231" s="4">
        <v>2</v>
      </c>
      <c r="S231" s="4">
        <v>2</v>
      </c>
      <c r="U231" s="4">
        <v>2</v>
      </c>
      <c r="W231" s="4">
        <v>2</v>
      </c>
      <c r="Z231" s="4">
        <v>2</v>
      </c>
      <c r="AP231" s="5"/>
      <c r="AQ231" s="5"/>
      <c r="AR231" s="4">
        <f t="shared" si="23"/>
        <v>10</v>
      </c>
      <c r="AS231" s="4">
        <f t="shared" si="24"/>
        <v>5</v>
      </c>
      <c r="AT231" s="32">
        <f t="shared" si="25"/>
        <v>122</v>
      </c>
    </row>
    <row r="232" customHeight="1" spans="1:48">
      <c r="A232" s="4">
        <v>231</v>
      </c>
      <c r="B232" s="4" t="s">
        <v>478</v>
      </c>
      <c r="C232" s="5">
        <v>15997226782</v>
      </c>
      <c r="D232" s="65">
        <v>46140</v>
      </c>
      <c r="E232" s="65">
        <v>46178</v>
      </c>
      <c r="F232" s="4">
        <v>488</v>
      </c>
      <c r="G232" s="4">
        <v>20</v>
      </c>
      <c r="H232" s="66">
        <f t="shared" si="26"/>
        <v>24.4</v>
      </c>
      <c r="I232" s="6" t="s">
        <v>240</v>
      </c>
      <c r="J232" s="6" t="s">
        <v>436</v>
      </c>
      <c r="L232" s="4">
        <v>17</v>
      </c>
      <c r="R232" s="4">
        <v>1</v>
      </c>
      <c r="S232" s="4">
        <v>1</v>
      </c>
      <c r="T232" s="4">
        <v>1</v>
      </c>
      <c r="U232" s="4">
        <v>1</v>
      </c>
      <c r="W232" s="4">
        <v>1</v>
      </c>
      <c r="X232" s="4">
        <v>1</v>
      </c>
      <c r="Y232" s="4">
        <v>1</v>
      </c>
      <c r="Z232" s="4">
        <v>1</v>
      </c>
      <c r="AA232" s="26">
        <v>1</v>
      </c>
      <c r="AP232" s="5"/>
      <c r="AR232" s="4">
        <f t="shared" si="23"/>
        <v>9</v>
      </c>
      <c r="AS232" s="4">
        <f t="shared" si="24"/>
        <v>8</v>
      </c>
      <c r="AT232" s="32">
        <f t="shared" si="25"/>
        <v>195.2</v>
      </c>
    </row>
    <row r="233" customHeight="1" spans="1:48">
      <c r="A233" s="4">
        <v>232</v>
      </c>
      <c r="B233" s="4" t="s">
        <v>479</v>
      </c>
      <c r="C233" s="5">
        <v>15179033120</v>
      </c>
      <c r="D233" s="65">
        <v>46140</v>
      </c>
      <c r="E233" s="65">
        <v>46178</v>
      </c>
      <c r="F233" s="4">
        <v>488</v>
      </c>
      <c r="G233" s="4">
        <v>20</v>
      </c>
      <c r="H233" s="66">
        <f t="shared" si="26"/>
        <v>24.4</v>
      </c>
      <c r="I233" s="6" t="s">
        <v>240</v>
      </c>
      <c r="J233" s="6" t="s">
        <v>436</v>
      </c>
      <c r="L233" s="4">
        <v>17</v>
      </c>
      <c r="R233" s="4">
        <v>1</v>
      </c>
      <c r="T233" s="4">
        <v>1</v>
      </c>
      <c r="W233" s="4">
        <v>1</v>
      </c>
      <c r="X233" s="4">
        <v>1</v>
      </c>
      <c r="Z233" s="4">
        <v>1</v>
      </c>
      <c r="AP233" s="5"/>
      <c r="AQ233" s="5"/>
      <c r="AR233" s="4">
        <f t="shared" si="23"/>
        <v>5</v>
      </c>
      <c r="AS233" s="4">
        <f t="shared" si="24"/>
        <v>12</v>
      </c>
      <c r="AT233" s="32">
        <f t="shared" si="25"/>
        <v>292.8</v>
      </c>
    </row>
    <row r="234" customHeight="1" spans="1:48">
      <c r="A234" s="4">
        <v>233</v>
      </c>
      <c r="B234" s="4" t="s">
        <v>480</v>
      </c>
      <c r="C234" s="5">
        <v>18827451003</v>
      </c>
      <c r="D234" s="65">
        <v>46140</v>
      </c>
      <c r="E234" s="65">
        <v>46178</v>
      </c>
      <c r="F234" s="4">
        <v>488</v>
      </c>
      <c r="G234" s="4">
        <v>20</v>
      </c>
      <c r="H234" s="66">
        <f t="shared" si="26"/>
        <v>24.4</v>
      </c>
      <c r="I234" s="6" t="s">
        <v>240</v>
      </c>
      <c r="J234" s="6" t="s">
        <v>436</v>
      </c>
      <c r="L234" s="4">
        <v>13</v>
      </c>
      <c r="R234" s="4">
        <v>2</v>
      </c>
      <c r="S234" s="4">
        <v>2</v>
      </c>
      <c r="T234" s="4">
        <v>2</v>
      </c>
      <c r="W234" s="4">
        <v>2</v>
      </c>
      <c r="X234" s="4">
        <v>2</v>
      </c>
      <c r="Y234" s="4">
        <v>2</v>
      </c>
      <c r="AA234" s="26">
        <v>1</v>
      </c>
      <c r="AP234" s="5"/>
      <c r="AQ234" s="5"/>
      <c r="AR234" s="4">
        <f t="shared" si="23"/>
        <v>13</v>
      </c>
      <c r="AS234" s="4">
        <f t="shared" si="24"/>
        <v>0</v>
      </c>
      <c r="AT234" s="32">
        <f t="shared" si="25"/>
        <v>0</v>
      </c>
    </row>
    <row r="235" s="4" customFormat="1" customHeight="1" spans="1:48">
      <c r="A235" s="4">
        <v>234</v>
      </c>
      <c r="B235" s="4" t="s">
        <v>481</v>
      </c>
      <c r="C235" s="5">
        <v>15872333692</v>
      </c>
      <c r="D235" s="65">
        <v>46139</v>
      </c>
      <c r="E235" s="65">
        <v>46238</v>
      </c>
      <c r="F235" s="4">
        <v>999</v>
      </c>
      <c r="G235" s="4">
        <v>40</v>
      </c>
      <c r="H235" s="66">
        <f t="shared" si="26"/>
        <v>24.975</v>
      </c>
      <c r="I235" s="4" t="s">
        <v>85</v>
      </c>
      <c r="J235" s="4" t="s">
        <v>482</v>
      </c>
      <c r="K235" s="6" t="s">
        <v>483</v>
      </c>
      <c r="L235" s="1">
        <v>42</v>
      </c>
      <c r="R235" s="4">
        <v>1</v>
      </c>
      <c r="S235" s="4">
        <v>1</v>
      </c>
      <c r="T235" s="4">
        <v>1</v>
      </c>
      <c r="U235" s="4">
        <v>1</v>
      </c>
      <c r="W235" s="4">
        <v>1</v>
      </c>
      <c r="X235" s="4"/>
      <c r="Y235" s="4">
        <v>1</v>
      </c>
      <c r="Z235" s="4"/>
      <c r="AA235" s="26"/>
      <c r="AB235" s="4"/>
      <c r="AC235" s="4"/>
      <c r="AM235" s="6"/>
      <c r="AP235" s="5"/>
      <c r="AQ235" s="5"/>
      <c r="AR235" s="4">
        <f t="shared" si="23"/>
        <v>6</v>
      </c>
      <c r="AS235" s="4">
        <f t="shared" si="24"/>
        <v>36</v>
      </c>
      <c r="AT235" s="32">
        <f t="shared" si="25"/>
        <v>899.1</v>
      </c>
    </row>
    <row r="236" customHeight="1" spans="1:48">
      <c r="A236" s="4">
        <v>235</v>
      </c>
      <c r="B236" s="4" t="s">
        <v>484</v>
      </c>
      <c r="C236" s="5">
        <v>13407243004</v>
      </c>
      <c r="D236" s="65">
        <v>46142</v>
      </c>
      <c r="E236" s="65">
        <v>46180</v>
      </c>
      <c r="F236" s="4">
        <v>488</v>
      </c>
      <c r="G236" s="4">
        <v>20</v>
      </c>
      <c r="H236" s="66">
        <f t="shared" si="26"/>
        <v>24.4</v>
      </c>
      <c r="I236" s="6" t="s">
        <v>240</v>
      </c>
      <c r="J236" s="6" t="s">
        <v>485</v>
      </c>
      <c r="L236" s="4">
        <v>19</v>
      </c>
      <c r="R236" s="4">
        <v>3</v>
      </c>
      <c r="S236" s="4">
        <v>1</v>
      </c>
      <c r="T236" s="4">
        <v>1</v>
      </c>
      <c r="U236" s="4">
        <v>1</v>
      </c>
      <c r="X236" s="4">
        <v>2</v>
      </c>
      <c r="Y236" s="4">
        <v>1</v>
      </c>
      <c r="Z236" s="4">
        <v>1</v>
      </c>
      <c r="AA236" s="26">
        <v>1</v>
      </c>
      <c r="AP236" s="5"/>
      <c r="AR236" s="4">
        <f t="shared" si="23"/>
        <v>11</v>
      </c>
      <c r="AS236" s="4">
        <f t="shared" si="24"/>
        <v>8</v>
      </c>
      <c r="AT236" s="32">
        <f t="shared" si="25"/>
        <v>195.2</v>
      </c>
    </row>
    <row r="237" customHeight="1" spans="1:48">
      <c r="A237" s="4">
        <v>236</v>
      </c>
      <c r="B237" s="4" t="s">
        <v>486</v>
      </c>
      <c r="C237" s="5">
        <v>15549788760</v>
      </c>
      <c r="D237" s="65">
        <v>46140</v>
      </c>
      <c r="E237" s="65">
        <v>46178</v>
      </c>
      <c r="F237" s="4">
        <v>488</v>
      </c>
      <c r="G237" s="4">
        <v>20</v>
      </c>
      <c r="H237" s="66">
        <f t="shared" si="26"/>
        <v>24.4</v>
      </c>
      <c r="I237" s="6" t="s">
        <v>240</v>
      </c>
      <c r="J237" s="6" t="s">
        <v>436</v>
      </c>
      <c r="L237" s="4">
        <v>14</v>
      </c>
      <c r="R237" s="4">
        <v>2</v>
      </c>
      <c r="S237" s="4">
        <v>2</v>
      </c>
      <c r="T237" s="4">
        <v>1</v>
      </c>
      <c r="W237" s="4">
        <v>1</v>
      </c>
      <c r="X237" s="4">
        <v>2</v>
      </c>
      <c r="Z237" s="4">
        <v>2</v>
      </c>
      <c r="AA237" s="26">
        <v>1</v>
      </c>
      <c r="AP237" s="5"/>
      <c r="AQ237" s="5"/>
      <c r="AR237" s="4">
        <f t="shared" si="23"/>
        <v>11</v>
      </c>
      <c r="AS237" s="4">
        <f t="shared" si="24"/>
        <v>3</v>
      </c>
      <c r="AT237" s="32">
        <f t="shared" si="25"/>
        <v>73.2</v>
      </c>
    </row>
    <row r="238" customHeight="1" spans="1:48">
      <c r="A238" s="4">
        <v>237</v>
      </c>
      <c r="B238" s="4" t="s">
        <v>487</v>
      </c>
      <c r="C238" s="5">
        <v>15272588514</v>
      </c>
      <c r="D238" s="65">
        <v>46141</v>
      </c>
      <c r="E238" s="65">
        <v>46179</v>
      </c>
      <c r="F238" s="4">
        <v>488</v>
      </c>
      <c r="G238" s="4">
        <v>20</v>
      </c>
      <c r="H238" s="66">
        <f t="shared" si="26"/>
        <v>24.4</v>
      </c>
      <c r="I238" s="6" t="s">
        <v>240</v>
      </c>
      <c r="J238" s="6" t="s">
        <v>488</v>
      </c>
      <c r="K238" s="6" t="s">
        <v>489</v>
      </c>
      <c r="L238" s="75">
        <v>22</v>
      </c>
      <c r="R238" s="4">
        <v>1</v>
      </c>
      <c r="S238" s="4">
        <v>1</v>
      </c>
      <c r="T238" s="4">
        <v>1</v>
      </c>
      <c r="U238" s="4">
        <v>1</v>
      </c>
      <c r="W238" s="4">
        <v>1</v>
      </c>
      <c r="X238" s="4">
        <v>1</v>
      </c>
      <c r="Y238" s="4">
        <v>1</v>
      </c>
      <c r="Z238" s="4">
        <v>1</v>
      </c>
      <c r="AA238" s="26">
        <v>1</v>
      </c>
      <c r="AP238" s="5"/>
      <c r="AR238" s="4">
        <f t="shared" si="23"/>
        <v>9</v>
      </c>
      <c r="AS238" s="4">
        <f t="shared" si="24"/>
        <v>13</v>
      </c>
      <c r="AT238" s="32">
        <f t="shared" si="25"/>
        <v>317.2</v>
      </c>
    </row>
    <row r="239" customHeight="1" spans="1:48">
      <c r="A239" s="4">
        <v>238</v>
      </c>
      <c r="B239" s="4" t="s">
        <v>490</v>
      </c>
      <c r="C239" s="5">
        <v>19252701018</v>
      </c>
      <c r="D239" s="65">
        <v>46141</v>
      </c>
      <c r="E239" s="65">
        <v>46179</v>
      </c>
      <c r="F239" s="4">
        <v>488</v>
      </c>
      <c r="G239" s="4">
        <v>20</v>
      </c>
      <c r="H239" s="66">
        <f t="shared" si="26"/>
        <v>24.4</v>
      </c>
      <c r="I239" s="6" t="s">
        <v>240</v>
      </c>
      <c r="J239" s="6" t="s">
        <v>489</v>
      </c>
      <c r="L239" s="4">
        <v>18</v>
      </c>
      <c r="R239" s="4">
        <v>1</v>
      </c>
      <c r="S239" s="4">
        <v>1</v>
      </c>
      <c r="T239" s="4">
        <v>1</v>
      </c>
      <c r="U239" s="4">
        <v>1</v>
      </c>
      <c r="W239" s="4">
        <v>1</v>
      </c>
      <c r="X239" s="4">
        <v>1</v>
      </c>
      <c r="Y239" s="4">
        <v>1</v>
      </c>
      <c r="Z239" s="4">
        <v>1</v>
      </c>
      <c r="AA239" s="26">
        <v>1</v>
      </c>
      <c r="AP239" s="6"/>
      <c r="AR239" s="4">
        <f t="shared" si="23"/>
        <v>9</v>
      </c>
      <c r="AS239" s="4">
        <f t="shared" si="24"/>
        <v>9</v>
      </c>
      <c r="AT239" s="32">
        <f t="shared" si="25"/>
        <v>219.6</v>
      </c>
    </row>
    <row r="240" s="9" customFormat="1" customHeight="1" spans="1:48">
      <c r="A240" s="4">
        <v>239</v>
      </c>
      <c r="B240" s="9" t="s">
        <v>491</v>
      </c>
      <c r="C240" s="10">
        <v>18771339515</v>
      </c>
      <c r="D240" s="71">
        <v>46149</v>
      </c>
      <c r="E240" s="71">
        <v>46180</v>
      </c>
      <c r="F240" s="9">
        <v>488</v>
      </c>
      <c r="G240" s="9">
        <v>20</v>
      </c>
      <c r="H240" s="72">
        <f t="shared" si="26"/>
        <v>24.4</v>
      </c>
      <c r="I240" s="73" t="s">
        <v>240</v>
      </c>
      <c r="J240" s="73" t="s">
        <v>259</v>
      </c>
      <c r="K240" s="73" t="s">
        <v>357</v>
      </c>
      <c r="L240" s="9">
        <v>6</v>
      </c>
      <c r="M240" s="9"/>
      <c r="N240" s="9"/>
      <c r="O240" s="9"/>
      <c r="P240" s="9"/>
      <c r="Q240" s="9"/>
      <c r="R240" s="9">
        <v>1</v>
      </c>
      <c r="S240" s="9">
        <v>1</v>
      </c>
      <c r="T240" s="9">
        <v>2</v>
      </c>
      <c r="U240" s="9">
        <v>2</v>
      </c>
      <c r="V240" s="4"/>
      <c r="W240" s="4"/>
      <c r="X240" s="9"/>
      <c r="Y240" s="4"/>
      <c r="Z240" s="4"/>
      <c r="AA240" s="26"/>
      <c r="AB240" s="4"/>
      <c r="AC240" s="4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10"/>
      <c r="AQ240" s="9"/>
      <c r="AR240" s="9">
        <f t="shared" si="23"/>
        <v>6</v>
      </c>
      <c r="AS240" s="9">
        <f t="shared" si="24"/>
        <v>0</v>
      </c>
      <c r="AT240" s="51">
        <f t="shared" si="25"/>
        <v>0</v>
      </c>
      <c r="AV240" s="9" t="s">
        <v>492</v>
      </c>
    </row>
    <row r="241" customHeight="1" spans="1:46">
      <c r="A241" s="4">
        <v>240</v>
      </c>
      <c r="B241" s="4" t="s">
        <v>493</v>
      </c>
      <c r="C241" s="5">
        <v>15549276706</v>
      </c>
      <c r="D241" s="65">
        <v>46141</v>
      </c>
      <c r="E241" s="65">
        <v>46179</v>
      </c>
      <c r="F241" s="4">
        <v>488</v>
      </c>
      <c r="G241" s="4">
        <v>20</v>
      </c>
      <c r="H241" s="66">
        <f t="shared" si="26"/>
        <v>24.4</v>
      </c>
      <c r="I241" s="6" t="s">
        <v>240</v>
      </c>
      <c r="J241" s="6" t="s">
        <v>489</v>
      </c>
      <c r="L241" s="4">
        <v>18</v>
      </c>
      <c r="R241" s="4">
        <v>1</v>
      </c>
      <c r="T241" s="4">
        <v>1</v>
      </c>
      <c r="U241" s="4">
        <v>1</v>
      </c>
      <c r="X241" s="4">
        <v>2</v>
      </c>
      <c r="AP241" s="5"/>
      <c r="AR241" s="4">
        <f t="shared" si="23"/>
        <v>5</v>
      </c>
      <c r="AS241" s="4">
        <f t="shared" si="24"/>
        <v>13</v>
      </c>
      <c r="AT241" s="32">
        <f t="shared" si="25"/>
        <v>317.2</v>
      </c>
    </row>
    <row r="242" customHeight="1" spans="1:46">
      <c r="A242" s="4">
        <v>241</v>
      </c>
      <c r="B242" s="4" t="s">
        <v>494</v>
      </c>
      <c r="C242" s="5">
        <v>13886143684</v>
      </c>
      <c r="D242" s="65">
        <v>46148</v>
      </c>
      <c r="E242" s="65">
        <v>46179</v>
      </c>
      <c r="F242" s="4">
        <v>299</v>
      </c>
      <c r="G242" s="4">
        <v>9</v>
      </c>
      <c r="H242" s="66">
        <f t="shared" si="26"/>
        <v>33.2222222222222</v>
      </c>
      <c r="I242" s="6" t="s">
        <v>267</v>
      </c>
      <c r="J242" s="6" t="s">
        <v>495</v>
      </c>
      <c r="L242" s="4">
        <v>9</v>
      </c>
      <c r="R242" s="4">
        <v>1</v>
      </c>
      <c r="T242" s="4">
        <v>1</v>
      </c>
      <c r="W242" s="4">
        <v>1</v>
      </c>
      <c r="AP242" s="6"/>
      <c r="AR242" s="4">
        <f t="shared" si="23"/>
        <v>3</v>
      </c>
      <c r="AS242" s="4">
        <f t="shared" si="24"/>
        <v>6</v>
      </c>
      <c r="AT242" s="32">
        <f t="shared" si="25"/>
        <v>199.333333333333</v>
      </c>
    </row>
    <row r="243" customHeight="1" spans="1:46">
      <c r="A243" s="4">
        <v>242</v>
      </c>
      <c r="B243" s="4" t="s">
        <v>496</v>
      </c>
      <c r="C243" s="5">
        <v>18212011879</v>
      </c>
      <c r="D243" s="65">
        <v>46155</v>
      </c>
      <c r="E243" s="65">
        <v>46186</v>
      </c>
      <c r="F243" s="4">
        <v>488</v>
      </c>
      <c r="G243" s="4">
        <v>20</v>
      </c>
      <c r="H243" s="66">
        <f t="shared" si="26"/>
        <v>24.4</v>
      </c>
      <c r="I243" s="6" t="s">
        <v>240</v>
      </c>
      <c r="J243" s="6" t="s">
        <v>259</v>
      </c>
      <c r="K243" s="6" t="s">
        <v>497</v>
      </c>
      <c r="L243" s="4">
        <v>25</v>
      </c>
      <c r="R243" s="4">
        <v>1</v>
      </c>
      <c r="W243" s="4">
        <v>1</v>
      </c>
      <c r="X243" s="4">
        <v>1</v>
      </c>
      <c r="Y243" s="4">
        <v>2</v>
      </c>
      <c r="AA243" s="26">
        <v>2</v>
      </c>
      <c r="AP243" s="5"/>
      <c r="AR243" s="4">
        <f t="shared" si="23"/>
        <v>7</v>
      </c>
      <c r="AS243" s="4">
        <f t="shared" si="24"/>
        <v>18</v>
      </c>
      <c r="AT243" s="32">
        <f t="shared" si="25"/>
        <v>439.2</v>
      </c>
    </row>
    <row r="244" customHeight="1" spans="1:46">
      <c r="A244" s="4">
        <v>243</v>
      </c>
      <c r="B244" s="4" t="s">
        <v>498</v>
      </c>
      <c r="C244" s="5">
        <v>15991874582</v>
      </c>
      <c r="D244" s="65">
        <v>46148</v>
      </c>
      <c r="E244" s="65">
        <v>46179</v>
      </c>
      <c r="F244" s="4">
        <v>488</v>
      </c>
      <c r="G244" s="4">
        <v>20</v>
      </c>
      <c r="H244" s="66">
        <f t="shared" si="26"/>
        <v>24.4</v>
      </c>
      <c r="I244" s="6" t="s">
        <v>240</v>
      </c>
      <c r="J244" s="6" t="s">
        <v>495</v>
      </c>
      <c r="L244" s="4">
        <v>19</v>
      </c>
      <c r="R244" s="4">
        <v>1</v>
      </c>
      <c r="S244" s="4">
        <v>1</v>
      </c>
      <c r="T244" s="4">
        <v>1</v>
      </c>
      <c r="U244" s="4">
        <v>2</v>
      </c>
      <c r="W244" s="4">
        <v>1</v>
      </c>
      <c r="X244" s="4">
        <v>1</v>
      </c>
      <c r="Y244" s="4">
        <v>2</v>
      </c>
      <c r="Z244" s="4">
        <v>1</v>
      </c>
      <c r="AA244" s="26">
        <v>1</v>
      </c>
      <c r="AP244" s="5"/>
      <c r="AR244" s="4">
        <f t="shared" si="23"/>
        <v>11</v>
      </c>
      <c r="AS244" s="4">
        <f t="shared" si="24"/>
        <v>8</v>
      </c>
      <c r="AT244" s="32">
        <f t="shared" si="25"/>
        <v>195.2</v>
      </c>
    </row>
    <row r="245" customHeight="1" spans="1:46">
      <c r="A245" s="4">
        <v>244</v>
      </c>
      <c r="B245" s="4" t="s">
        <v>499</v>
      </c>
      <c r="C245" s="5">
        <v>13164604605</v>
      </c>
      <c r="D245" s="65">
        <v>46148</v>
      </c>
      <c r="E245" s="65">
        <v>46179</v>
      </c>
      <c r="F245" s="4">
        <v>488</v>
      </c>
      <c r="G245" s="4">
        <v>20</v>
      </c>
      <c r="H245" s="66">
        <f t="shared" si="26"/>
        <v>24.4</v>
      </c>
      <c r="I245" s="6" t="s">
        <v>240</v>
      </c>
      <c r="J245" s="6" t="s">
        <v>495</v>
      </c>
      <c r="L245" s="4">
        <v>19</v>
      </c>
      <c r="R245" s="4">
        <v>1</v>
      </c>
      <c r="S245" s="4">
        <v>1</v>
      </c>
      <c r="T245" s="4">
        <v>1</v>
      </c>
      <c r="Y245" s="4">
        <v>1</v>
      </c>
      <c r="AA245" s="26">
        <v>2</v>
      </c>
      <c r="AP245" s="5"/>
      <c r="AR245" s="4">
        <f t="shared" si="23"/>
        <v>6</v>
      </c>
      <c r="AS245" s="4">
        <f t="shared" si="24"/>
        <v>13</v>
      </c>
      <c r="AT245" s="32">
        <f t="shared" si="25"/>
        <v>317.2</v>
      </c>
    </row>
    <row r="246" customHeight="1" spans="1:46">
      <c r="A246" s="4">
        <v>245</v>
      </c>
      <c r="B246" s="4" t="s">
        <v>500</v>
      </c>
      <c r="C246" s="5">
        <v>13277421447</v>
      </c>
      <c r="D246" s="65">
        <v>46148</v>
      </c>
      <c r="E246" s="65">
        <v>46179</v>
      </c>
      <c r="F246" s="4">
        <v>488</v>
      </c>
      <c r="G246" s="4">
        <v>20</v>
      </c>
      <c r="H246" s="66">
        <f t="shared" si="26"/>
        <v>24.4</v>
      </c>
      <c r="I246" s="6" t="s">
        <v>240</v>
      </c>
      <c r="J246" s="6" t="s">
        <v>495</v>
      </c>
      <c r="L246" s="4">
        <v>19</v>
      </c>
      <c r="R246" s="4">
        <v>1</v>
      </c>
      <c r="S246" s="4">
        <v>1</v>
      </c>
      <c r="T246" s="4">
        <v>1</v>
      </c>
      <c r="U246" s="4">
        <v>1</v>
      </c>
      <c r="W246" s="4">
        <v>1</v>
      </c>
      <c r="X246" s="4">
        <v>1</v>
      </c>
      <c r="Y246" s="4">
        <v>1</v>
      </c>
      <c r="Z246" s="4">
        <v>2</v>
      </c>
      <c r="AA246" s="26">
        <v>1</v>
      </c>
      <c r="AP246" s="5"/>
      <c r="AR246" s="4">
        <f t="shared" si="23"/>
        <v>10</v>
      </c>
      <c r="AS246" s="4">
        <f t="shared" si="24"/>
        <v>9</v>
      </c>
      <c r="AT246" s="32">
        <f t="shared" si="25"/>
        <v>219.6</v>
      </c>
    </row>
    <row r="247" customHeight="1" spans="1:46">
      <c r="A247" s="4">
        <v>246</v>
      </c>
      <c r="B247" s="4" t="s">
        <v>501</v>
      </c>
      <c r="C247" s="5">
        <v>17762532370</v>
      </c>
      <c r="D247" s="65">
        <v>46148</v>
      </c>
      <c r="E247" s="65">
        <v>46179</v>
      </c>
      <c r="F247" s="4">
        <v>488</v>
      </c>
      <c r="G247" s="4">
        <v>20</v>
      </c>
      <c r="H247" s="66">
        <f t="shared" si="26"/>
        <v>24.4</v>
      </c>
      <c r="I247" s="6" t="s">
        <v>240</v>
      </c>
      <c r="J247" s="6" t="s">
        <v>495</v>
      </c>
      <c r="L247" s="4">
        <v>18</v>
      </c>
      <c r="T247" s="4">
        <v>1</v>
      </c>
      <c r="U247" s="4">
        <v>2</v>
      </c>
      <c r="X247" s="4">
        <v>1</v>
      </c>
      <c r="Y247" s="4">
        <v>1</v>
      </c>
      <c r="Z247" s="4">
        <v>2</v>
      </c>
      <c r="AP247" s="5"/>
      <c r="AQ247" s="5"/>
      <c r="AR247" s="4">
        <f t="shared" si="23"/>
        <v>7</v>
      </c>
      <c r="AS247" s="4">
        <f t="shared" si="24"/>
        <v>11</v>
      </c>
      <c r="AT247" s="32">
        <f t="shared" si="25"/>
        <v>268.4</v>
      </c>
    </row>
    <row r="248" s="11" customFormat="1" customHeight="1" spans="1:46">
      <c r="A248" s="4">
        <v>247</v>
      </c>
      <c r="B248" s="11" t="s">
        <v>502</v>
      </c>
      <c r="C248" s="12">
        <v>18674062218</v>
      </c>
      <c r="D248" s="65">
        <v>46148</v>
      </c>
      <c r="E248" s="65">
        <v>46179</v>
      </c>
      <c r="F248" s="4">
        <v>488</v>
      </c>
      <c r="G248" s="4">
        <v>20</v>
      </c>
      <c r="H248" s="66">
        <f t="shared" si="26"/>
        <v>24.4</v>
      </c>
      <c r="I248" s="6" t="s">
        <v>240</v>
      </c>
      <c r="J248" s="11" t="s">
        <v>503</v>
      </c>
      <c r="K248" s="6" t="s">
        <v>504</v>
      </c>
      <c r="L248" s="69">
        <v>20</v>
      </c>
      <c r="M248" s="11"/>
      <c r="N248" s="11"/>
      <c r="O248" s="11"/>
      <c r="P248" s="11"/>
      <c r="Q248" s="11"/>
      <c r="R248" s="4">
        <v>1</v>
      </c>
      <c r="S248" s="11">
        <v>1</v>
      </c>
      <c r="T248" s="4">
        <v>1</v>
      </c>
      <c r="U248" s="4">
        <v>1</v>
      </c>
      <c r="V248" s="4"/>
      <c r="W248" s="4">
        <v>1</v>
      </c>
      <c r="X248" s="4">
        <v>1</v>
      </c>
      <c r="Y248" s="4">
        <v>1</v>
      </c>
      <c r="Z248" s="4">
        <v>1</v>
      </c>
      <c r="AA248" s="26">
        <v>1</v>
      </c>
      <c r="AB248" s="4"/>
      <c r="AC248" s="4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6"/>
      <c r="AQ248" s="11"/>
      <c r="AR248" s="11">
        <f t="shared" si="23"/>
        <v>9</v>
      </c>
      <c r="AS248" s="11">
        <f t="shared" si="24"/>
        <v>11</v>
      </c>
      <c r="AT248" s="81">
        <f t="shared" si="25"/>
        <v>268.4</v>
      </c>
    </row>
    <row r="249" ht="17" customHeight="1" spans="1:46">
      <c r="A249" s="4">
        <v>248</v>
      </c>
      <c r="B249" s="4" t="s">
        <v>505</v>
      </c>
      <c r="C249" s="5">
        <v>13477014875</v>
      </c>
      <c r="D249" s="65">
        <v>46148</v>
      </c>
      <c r="E249" s="65">
        <v>46179</v>
      </c>
      <c r="F249" s="4">
        <v>488</v>
      </c>
      <c r="G249" s="4">
        <v>20</v>
      </c>
      <c r="H249" s="66">
        <f t="shared" si="26"/>
        <v>24.4</v>
      </c>
      <c r="I249" s="6" t="s">
        <v>240</v>
      </c>
      <c r="J249" s="6" t="s">
        <v>504</v>
      </c>
      <c r="L249" s="4">
        <v>20</v>
      </c>
      <c r="R249" s="4">
        <v>1</v>
      </c>
      <c r="S249" s="4">
        <v>2</v>
      </c>
      <c r="T249" s="4">
        <v>1</v>
      </c>
      <c r="U249" s="4">
        <v>1</v>
      </c>
      <c r="W249" s="4">
        <v>2</v>
      </c>
      <c r="X249" s="4">
        <v>2</v>
      </c>
      <c r="Y249" s="4">
        <v>1</v>
      </c>
      <c r="Z249" s="4">
        <v>2</v>
      </c>
      <c r="AA249" s="26">
        <v>1</v>
      </c>
      <c r="AR249" s="11">
        <f t="shared" si="23"/>
        <v>13</v>
      </c>
      <c r="AS249" s="11">
        <f t="shared" si="24"/>
        <v>7</v>
      </c>
      <c r="AT249" s="81">
        <f t="shared" si="25"/>
        <v>170.8</v>
      </c>
    </row>
    <row r="250" customHeight="1" spans="1:46">
      <c r="A250" s="4">
        <v>249</v>
      </c>
      <c r="B250" s="4" t="s">
        <v>506</v>
      </c>
      <c r="C250" s="5">
        <v>18271706877</v>
      </c>
      <c r="D250" s="65">
        <v>46148</v>
      </c>
      <c r="E250" s="65">
        <v>46179</v>
      </c>
      <c r="F250" s="4">
        <v>488</v>
      </c>
      <c r="G250" s="4">
        <v>20</v>
      </c>
      <c r="H250" s="66">
        <f t="shared" si="26"/>
        <v>24.4</v>
      </c>
      <c r="I250" s="6" t="s">
        <v>240</v>
      </c>
      <c r="J250" s="6" t="s">
        <v>504</v>
      </c>
      <c r="L250" s="4">
        <v>20</v>
      </c>
      <c r="R250" s="4">
        <v>1</v>
      </c>
      <c r="S250" s="4">
        <v>1</v>
      </c>
      <c r="T250" s="4">
        <v>1</v>
      </c>
      <c r="U250" s="4">
        <v>1</v>
      </c>
      <c r="W250" s="4">
        <v>1</v>
      </c>
      <c r="X250" s="4">
        <v>1</v>
      </c>
      <c r="Y250" s="4">
        <v>1</v>
      </c>
      <c r="Z250" s="4">
        <v>1</v>
      </c>
      <c r="AA250" s="26">
        <v>1</v>
      </c>
      <c r="AR250" s="11">
        <f t="shared" si="23"/>
        <v>9</v>
      </c>
      <c r="AS250" s="11">
        <f t="shared" si="24"/>
        <v>11</v>
      </c>
      <c r="AT250" s="81">
        <f t="shared" si="25"/>
        <v>268.4</v>
      </c>
    </row>
    <row r="251" customHeight="1" spans="1:46">
      <c r="A251" s="4">
        <v>250</v>
      </c>
      <c r="B251" s="4" t="s">
        <v>507</v>
      </c>
      <c r="C251" s="5">
        <v>15072825014</v>
      </c>
      <c r="D251" s="65">
        <v>46148</v>
      </c>
      <c r="E251" s="65">
        <v>46179</v>
      </c>
      <c r="F251" s="4">
        <v>488</v>
      </c>
      <c r="G251" s="4">
        <v>20</v>
      </c>
      <c r="H251" s="66">
        <f t="shared" si="26"/>
        <v>24.4</v>
      </c>
      <c r="I251" s="6" t="s">
        <v>240</v>
      </c>
      <c r="J251" s="6" t="s">
        <v>504</v>
      </c>
      <c r="L251" s="4">
        <v>20</v>
      </c>
      <c r="R251" s="4">
        <v>1</v>
      </c>
      <c r="S251" s="4">
        <v>1</v>
      </c>
      <c r="T251" s="4">
        <v>1</v>
      </c>
      <c r="X251" s="4">
        <v>1</v>
      </c>
      <c r="Y251" s="4">
        <v>1</v>
      </c>
      <c r="Z251" s="4">
        <v>1</v>
      </c>
      <c r="AR251" s="11">
        <f t="shared" si="23"/>
        <v>6</v>
      </c>
      <c r="AS251" s="11">
        <f t="shared" si="24"/>
        <v>14</v>
      </c>
      <c r="AT251" s="81">
        <f t="shared" si="25"/>
        <v>341.6</v>
      </c>
    </row>
    <row r="252" customHeight="1" spans="1:46">
      <c r="A252" s="4">
        <v>251</v>
      </c>
      <c r="B252" s="4" t="s">
        <v>508</v>
      </c>
      <c r="C252" s="5">
        <v>15871464378</v>
      </c>
      <c r="D252" s="65">
        <v>46148</v>
      </c>
      <c r="E252" s="65">
        <v>46179</v>
      </c>
      <c r="F252" s="4">
        <v>488</v>
      </c>
      <c r="G252" s="4">
        <v>20</v>
      </c>
      <c r="H252" s="66">
        <f t="shared" si="26"/>
        <v>24.4</v>
      </c>
      <c r="I252" s="6" t="s">
        <v>240</v>
      </c>
      <c r="J252" s="6" t="s">
        <v>504</v>
      </c>
      <c r="L252" s="4">
        <v>20</v>
      </c>
      <c r="S252" s="4">
        <v>1</v>
      </c>
      <c r="T252" s="4">
        <v>2</v>
      </c>
      <c r="U252" s="4">
        <v>1</v>
      </c>
      <c r="W252" s="4">
        <v>1</v>
      </c>
      <c r="Y252" s="4">
        <v>1</v>
      </c>
      <c r="Z252" s="4">
        <v>2</v>
      </c>
      <c r="AA252" s="26">
        <v>1</v>
      </c>
      <c r="AR252" s="11">
        <f t="shared" si="23"/>
        <v>9</v>
      </c>
      <c r="AS252" s="11">
        <f t="shared" si="24"/>
        <v>11</v>
      </c>
      <c r="AT252" s="81">
        <f t="shared" si="25"/>
        <v>268.4</v>
      </c>
    </row>
    <row r="253" customHeight="1" spans="1:46">
      <c r="A253" s="4">
        <v>252</v>
      </c>
      <c r="B253" s="4" t="s">
        <v>509</v>
      </c>
      <c r="C253" s="5">
        <v>17764065626</v>
      </c>
      <c r="D253" s="65">
        <v>46148</v>
      </c>
      <c r="E253" s="65">
        <v>46179</v>
      </c>
      <c r="F253" s="4">
        <v>488</v>
      </c>
      <c r="G253" s="4">
        <v>20</v>
      </c>
      <c r="H253" s="66">
        <f t="shared" si="26"/>
        <v>24.4</v>
      </c>
      <c r="I253" s="6" t="s">
        <v>240</v>
      </c>
      <c r="J253" s="6" t="s">
        <v>504</v>
      </c>
      <c r="L253" s="4">
        <v>20</v>
      </c>
      <c r="R253" s="4">
        <v>1</v>
      </c>
      <c r="S253" s="4">
        <v>1</v>
      </c>
      <c r="T253" s="4">
        <v>1</v>
      </c>
      <c r="W253" s="4">
        <v>1</v>
      </c>
      <c r="Y253" s="4">
        <v>1</v>
      </c>
      <c r="Z253" s="4">
        <v>1</v>
      </c>
      <c r="AA253" s="26">
        <v>1</v>
      </c>
      <c r="AR253" s="11">
        <f t="shared" si="23"/>
        <v>7</v>
      </c>
      <c r="AS253" s="11">
        <f t="shared" si="24"/>
        <v>13</v>
      </c>
      <c r="AT253" s="81">
        <f t="shared" si="25"/>
        <v>317.2</v>
      </c>
    </row>
    <row r="254" customHeight="1" spans="1:46">
      <c r="A254" s="4">
        <v>253</v>
      </c>
      <c r="B254" s="4" t="s">
        <v>510</v>
      </c>
      <c r="C254" s="5">
        <v>17764080122</v>
      </c>
      <c r="D254" s="65">
        <v>46148</v>
      </c>
      <c r="E254" s="65">
        <v>46179</v>
      </c>
      <c r="F254" s="4">
        <v>488</v>
      </c>
      <c r="G254" s="4">
        <v>20</v>
      </c>
      <c r="H254" s="66">
        <f t="shared" si="26"/>
        <v>24.4</v>
      </c>
      <c r="I254" s="6" t="s">
        <v>240</v>
      </c>
      <c r="J254" s="6" t="s">
        <v>504</v>
      </c>
      <c r="L254" s="4">
        <v>20</v>
      </c>
      <c r="R254" s="4">
        <v>1</v>
      </c>
      <c r="S254" s="4">
        <v>1</v>
      </c>
      <c r="T254" s="4">
        <v>1</v>
      </c>
      <c r="U254" s="4">
        <v>1</v>
      </c>
      <c r="W254" s="4">
        <v>1</v>
      </c>
      <c r="X254" s="4">
        <v>1</v>
      </c>
      <c r="Y254" s="4">
        <v>1</v>
      </c>
      <c r="Z254" s="4">
        <v>1</v>
      </c>
      <c r="AA254" s="26">
        <v>1</v>
      </c>
      <c r="AR254" s="11">
        <f t="shared" si="23"/>
        <v>9</v>
      </c>
      <c r="AS254" s="11">
        <f t="shared" si="24"/>
        <v>11</v>
      </c>
      <c r="AT254" s="81">
        <f t="shared" si="25"/>
        <v>268.4</v>
      </c>
    </row>
    <row r="255" customHeight="1" spans="1:46">
      <c r="A255" s="4">
        <v>254</v>
      </c>
      <c r="B255" s="4" t="s">
        <v>511</v>
      </c>
      <c r="C255" s="5">
        <v>19522943527</v>
      </c>
      <c r="D255" s="65">
        <v>46148</v>
      </c>
      <c r="E255" s="65">
        <v>46179</v>
      </c>
      <c r="F255" s="4">
        <v>488</v>
      </c>
      <c r="G255" s="4">
        <v>20</v>
      </c>
      <c r="H255" s="66">
        <f t="shared" si="26"/>
        <v>24.4</v>
      </c>
      <c r="I255" s="6" t="s">
        <v>240</v>
      </c>
      <c r="J255" s="6" t="s">
        <v>504</v>
      </c>
      <c r="L255" s="4">
        <v>20</v>
      </c>
      <c r="R255" s="4">
        <v>1</v>
      </c>
      <c r="S255" s="4">
        <v>1</v>
      </c>
      <c r="T255" s="4">
        <v>1</v>
      </c>
      <c r="U255" s="4">
        <v>1</v>
      </c>
      <c r="AR255" s="11">
        <f t="shared" si="23"/>
        <v>4</v>
      </c>
      <c r="AS255" s="11">
        <f t="shared" si="24"/>
        <v>16</v>
      </c>
      <c r="AT255" s="81">
        <f t="shared" si="25"/>
        <v>390.4</v>
      </c>
    </row>
    <row r="256" customHeight="1" spans="1:46">
      <c r="A256" s="4">
        <v>255</v>
      </c>
      <c r="B256" s="4" t="s">
        <v>512</v>
      </c>
      <c r="C256" s="5">
        <v>17302776982</v>
      </c>
      <c r="D256" s="65">
        <v>46148</v>
      </c>
      <c r="E256" s="65">
        <v>46179</v>
      </c>
      <c r="F256" s="4">
        <v>488</v>
      </c>
      <c r="G256" s="4">
        <v>20</v>
      </c>
      <c r="H256" s="66">
        <f t="shared" si="26"/>
        <v>24.4</v>
      </c>
      <c r="I256" s="6" t="s">
        <v>240</v>
      </c>
      <c r="J256" s="6" t="s">
        <v>504</v>
      </c>
      <c r="L256" s="4">
        <v>20</v>
      </c>
      <c r="T256" s="4">
        <v>1</v>
      </c>
      <c r="U256" s="4">
        <v>1</v>
      </c>
      <c r="Y256" s="4">
        <v>1</v>
      </c>
      <c r="Z256" s="4">
        <v>1</v>
      </c>
      <c r="AA256" s="26">
        <v>1</v>
      </c>
      <c r="AR256" s="11">
        <f t="shared" si="23"/>
        <v>5</v>
      </c>
      <c r="AS256" s="11">
        <f t="shared" si="24"/>
        <v>15</v>
      </c>
      <c r="AT256" s="81">
        <f t="shared" si="25"/>
        <v>366</v>
      </c>
    </row>
    <row r="257" customHeight="1" spans="1:46">
      <c r="A257" s="4">
        <v>256</v>
      </c>
      <c r="B257" s="4" t="s">
        <v>513</v>
      </c>
      <c r="C257" s="5">
        <v>13525752819</v>
      </c>
      <c r="D257" s="65">
        <v>46148</v>
      </c>
      <c r="E257" s="65">
        <v>46179</v>
      </c>
      <c r="F257" s="4">
        <v>488</v>
      </c>
      <c r="G257" s="4">
        <v>20</v>
      </c>
      <c r="H257" s="66">
        <f t="shared" si="26"/>
        <v>24.4</v>
      </c>
      <c r="I257" s="6" t="s">
        <v>240</v>
      </c>
      <c r="J257" s="6" t="s">
        <v>504</v>
      </c>
      <c r="L257" s="4">
        <v>20</v>
      </c>
      <c r="S257" s="4">
        <v>1</v>
      </c>
      <c r="T257" s="4">
        <v>1</v>
      </c>
      <c r="U257" s="4">
        <v>1</v>
      </c>
      <c r="X257" s="4">
        <v>1</v>
      </c>
      <c r="Y257" s="4">
        <v>2</v>
      </c>
      <c r="Z257" s="4">
        <v>1</v>
      </c>
      <c r="AA257" s="26">
        <v>1</v>
      </c>
      <c r="AR257" s="11">
        <f t="shared" si="23"/>
        <v>8</v>
      </c>
      <c r="AS257" s="11">
        <f t="shared" si="24"/>
        <v>12</v>
      </c>
      <c r="AT257" s="81">
        <f t="shared" si="25"/>
        <v>292.8</v>
      </c>
    </row>
    <row r="258" customHeight="1" spans="1:46">
      <c r="A258" s="4">
        <v>257</v>
      </c>
      <c r="B258" s="4" t="s">
        <v>514</v>
      </c>
      <c r="C258" s="5">
        <v>17754441319</v>
      </c>
      <c r="D258" s="65">
        <v>46148</v>
      </c>
      <c r="E258" s="65">
        <v>46179</v>
      </c>
      <c r="F258" s="4">
        <v>488</v>
      </c>
      <c r="G258" s="4">
        <v>20</v>
      </c>
      <c r="H258" s="66">
        <f t="shared" si="26"/>
        <v>24.4</v>
      </c>
      <c r="I258" s="6" t="s">
        <v>240</v>
      </c>
      <c r="J258" s="6" t="s">
        <v>504</v>
      </c>
      <c r="L258" s="4">
        <v>20</v>
      </c>
      <c r="R258" s="4">
        <v>1</v>
      </c>
      <c r="S258" s="4">
        <v>1</v>
      </c>
      <c r="T258" s="4">
        <v>3</v>
      </c>
      <c r="W258" s="4">
        <v>1</v>
      </c>
      <c r="AR258" s="11">
        <f t="shared" si="23"/>
        <v>6</v>
      </c>
      <c r="AS258" s="11">
        <f t="shared" si="24"/>
        <v>14</v>
      </c>
      <c r="AT258" s="81">
        <f t="shared" si="25"/>
        <v>341.6</v>
      </c>
    </row>
    <row r="259" customHeight="1" spans="1:46">
      <c r="A259" s="4">
        <v>258</v>
      </c>
      <c r="B259" s="4" t="s">
        <v>515</v>
      </c>
      <c r="C259" s="5">
        <v>13972670402</v>
      </c>
      <c r="D259" s="65">
        <v>46148</v>
      </c>
      <c r="E259" s="65">
        <v>46179</v>
      </c>
      <c r="F259" s="4">
        <v>488</v>
      </c>
      <c r="G259" s="4">
        <v>20</v>
      </c>
      <c r="H259" s="66">
        <f t="shared" si="26"/>
        <v>24.4</v>
      </c>
      <c r="I259" s="6" t="s">
        <v>240</v>
      </c>
      <c r="J259" s="6" t="s">
        <v>504</v>
      </c>
      <c r="L259" s="4">
        <v>20</v>
      </c>
      <c r="T259" s="4">
        <v>1</v>
      </c>
      <c r="U259" s="4">
        <v>1</v>
      </c>
      <c r="W259" s="4">
        <v>1</v>
      </c>
      <c r="Y259" s="4">
        <v>1</v>
      </c>
      <c r="AA259" s="26">
        <v>2</v>
      </c>
      <c r="AR259" s="11">
        <f t="shared" si="23"/>
        <v>6</v>
      </c>
      <c r="AS259" s="11">
        <f t="shared" si="24"/>
        <v>14</v>
      </c>
      <c r="AT259" s="81">
        <f t="shared" si="25"/>
        <v>341.6</v>
      </c>
    </row>
    <row r="260" customHeight="1" spans="1:46">
      <c r="A260" s="4">
        <v>259</v>
      </c>
      <c r="B260" s="4" t="s">
        <v>516</v>
      </c>
      <c r="C260" s="5">
        <v>18533537122</v>
      </c>
      <c r="D260" s="65">
        <v>46148</v>
      </c>
      <c r="E260" s="65">
        <v>46179</v>
      </c>
      <c r="F260" s="4">
        <v>488</v>
      </c>
      <c r="G260" s="4">
        <v>20</v>
      </c>
      <c r="H260" s="66">
        <f t="shared" si="26"/>
        <v>24.4</v>
      </c>
      <c r="I260" s="6" t="s">
        <v>240</v>
      </c>
      <c r="J260" s="6" t="s">
        <v>504</v>
      </c>
      <c r="L260" s="4">
        <v>20</v>
      </c>
      <c r="R260" s="4">
        <v>1</v>
      </c>
      <c r="S260" s="4">
        <v>1</v>
      </c>
      <c r="T260" s="4">
        <v>1</v>
      </c>
      <c r="U260" s="4">
        <v>1</v>
      </c>
      <c r="W260" s="4">
        <v>1</v>
      </c>
      <c r="AR260" s="11">
        <f t="shared" si="23"/>
        <v>5</v>
      </c>
      <c r="AS260" s="11">
        <f t="shared" si="24"/>
        <v>15</v>
      </c>
      <c r="AT260" s="81">
        <f t="shared" si="25"/>
        <v>366</v>
      </c>
    </row>
    <row r="261" customHeight="1" spans="1:46">
      <c r="A261" s="4">
        <v>260</v>
      </c>
      <c r="B261" s="4" t="s">
        <v>517</v>
      </c>
      <c r="C261" s="5">
        <v>19996075293</v>
      </c>
      <c r="D261" s="65">
        <v>46148</v>
      </c>
      <c r="E261" s="65">
        <v>46179</v>
      </c>
      <c r="F261" s="4">
        <v>488</v>
      </c>
      <c r="G261" s="4">
        <v>20</v>
      </c>
      <c r="H261" s="66">
        <f t="shared" si="26"/>
        <v>24.4</v>
      </c>
      <c r="I261" s="6" t="s">
        <v>240</v>
      </c>
      <c r="J261" s="6" t="s">
        <v>504</v>
      </c>
      <c r="L261" s="4">
        <v>20</v>
      </c>
      <c r="R261" s="4">
        <v>1</v>
      </c>
      <c r="S261" s="4">
        <v>1</v>
      </c>
      <c r="W261" s="4">
        <v>1</v>
      </c>
      <c r="Y261" s="4">
        <v>1</v>
      </c>
      <c r="Z261" s="4">
        <v>1</v>
      </c>
      <c r="AR261" s="11">
        <f t="shared" si="23"/>
        <v>5</v>
      </c>
      <c r="AS261" s="11">
        <f t="shared" si="24"/>
        <v>15</v>
      </c>
      <c r="AT261" s="81">
        <f t="shared" si="25"/>
        <v>366</v>
      </c>
    </row>
    <row r="262" customHeight="1" spans="1:46">
      <c r="A262" s="4">
        <v>261</v>
      </c>
      <c r="B262" s="4" t="s">
        <v>518</v>
      </c>
      <c r="C262" s="5">
        <v>19225873457</v>
      </c>
      <c r="D262" s="65">
        <v>46148</v>
      </c>
      <c r="E262" s="65">
        <v>46179</v>
      </c>
      <c r="F262" s="4">
        <v>488</v>
      </c>
      <c r="G262" s="4">
        <v>20</v>
      </c>
      <c r="H262" s="66">
        <f t="shared" si="26"/>
        <v>24.4</v>
      </c>
      <c r="I262" s="6" t="s">
        <v>240</v>
      </c>
      <c r="J262" s="6" t="s">
        <v>504</v>
      </c>
      <c r="L262" s="4">
        <v>20</v>
      </c>
      <c r="R262" s="4">
        <v>1</v>
      </c>
      <c r="S262" s="4">
        <v>1</v>
      </c>
      <c r="W262" s="4">
        <v>1</v>
      </c>
      <c r="Y262" s="4">
        <v>1</v>
      </c>
      <c r="Z262" s="4">
        <v>1</v>
      </c>
      <c r="AR262" s="11">
        <f t="shared" si="23"/>
        <v>5</v>
      </c>
      <c r="AS262" s="11">
        <f t="shared" si="24"/>
        <v>15</v>
      </c>
      <c r="AT262" s="81">
        <f t="shared" si="25"/>
        <v>366</v>
      </c>
    </row>
    <row r="263" customHeight="1" spans="1:46">
      <c r="A263" s="4">
        <v>262</v>
      </c>
      <c r="B263" s="4" t="s">
        <v>519</v>
      </c>
      <c r="C263" s="5">
        <v>15392713127</v>
      </c>
      <c r="D263" s="65">
        <v>46148</v>
      </c>
      <c r="E263" s="65">
        <v>46179</v>
      </c>
      <c r="F263" s="4">
        <v>488</v>
      </c>
      <c r="G263" s="4">
        <v>20</v>
      </c>
      <c r="H263" s="66">
        <f t="shared" si="26"/>
        <v>24.4</v>
      </c>
      <c r="I263" s="6" t="s">
        <v>240</v>
      </c>
      <c r="J263" s="6" t="s">
        <v>504</v>
      </c>
      <c r="L263" s="4">
        <v>20</v>
      </c>
      <c r="R263" s="4">
        <v>2</v>
      </c>
      <c r="S263" s="4">
        <v>2</v>
      </c>
      <c r="T263" s="4">
        <v>2</v>
      </c>
      <c r="U263" s="4">
        <v>2</v>
      </c>
      <c r="W263" s="4">
        <v>1</v>
      </c>
      <c r="X263" s="4">
        <v>1</v>
      </c>
      <c r="Y263" s="4">
        <v>3</v>
      </c>
      <c r="Z263" s="4">
        <v>1</v>
      </c>
      <c r="AA263" s="26">
        <v>1</v>
      </c>
      <c r="AR263" s="11">
        <f t="shared" si="23"/>
        <v>15</v>
      </c>
      <c r="AS263" s="11">
        <f t="shared" si="24"/>
        <v>5</v>
      </c>
      <c r="AT263" s="81">
        <f t="shared" si="25"/>
        <v>122</v>
      </c>
    </row>
    <row r="264" customHeight="1" spans="1:46">
      <c r="A264" s="4">
        <v>263</v>
      </c>
      <c r="B264" s="4" t="s">
        <v>520</v>
      </c>
      <c r="C264" s="5">
        <v>17671770900</v>
      </c>
      <c r="D264" s="65">
        <v>46148</v>
      </c>
      <c r="E264" s="65">
        <v>46179</v>
      </c>
      <c r="F264" s="4">
        <v>488</v>
      </c>
      <c r="G264" s="4">
        <v>20</v>
      </c>
      <c r="H264" s="66">
        <f t="shared" si="26"/>
        <v>24.4</v>
      </c>
      <c r="I264" s="6" t="s">
        <v>240</v>
      </c>
      <c r="J264" s="6" t="s">
        <v>504</v>
      </c>
      <c r="L264" s="4">
        <v>20</v>
      </c>
      <c r="R264" s="4">
        <v>1</v>
      </c>
      <c r="S264" s="4">
        <v>1</v>
      </c>
      <c r="W264" s="4">
        <v>1</v>
      </c>
      <c r="X264" s="4">
        <v>1</v>
      </c>
      <c r="Y264" s="4">
        <v>1</v>
      </c>
      <c r="Z264" s="4">
        <v>1</v>
      </c>
      <c r="AA264" s="26">
        <v>2</v>
      </c>
      <c r="AR264" s="11">
        <f t="shared" si="23"/>
        <v>8</v>
      </c>
      <c r="AS264" s="11">
        <f t="shared" si="24"/>
        <v>12</v>
      </c>
      <c r="AT264" s="81">
        <f t="shared" si="25"/>
        <v>292.8</v>
      </c>
    </row>
    <row r="265" customHeight="1" spans="1:46">
      <c r="A265" s="4">
        <v>264</v>
      </c>
      <c r="B265" s="4" t="s">
        <v>521</v>
      </c>
      <c r="C265" s="5">
        <v>13100720118</v>
      </c>
      <c r="D265" s="65">
        <v>46148</v>
      </c>
      <c r="E265" s="65">
        <v>46179</v>
      </c>
      <c r="F265" s="4">
        <v>488</v>
      </c>
      <c r="G265" s="4">
        <v>20</v>
      </c>
      <c r="H265" s="66">
        <f t="shared" si="26"/>
        <v>24.4</v>
      </c>
      <c r="I265" s="6" t="s">
        <v>240</v>
      </c>
      <c r="J265" s="6" t="s">
        <v>504</v>
      </c>
      <c r="L265" s="4">
        <v>20</v>
      </c>
      <c r="R265" s="4">
        <v>1</v>
      </c>
      <c r="S265" s="4">
        <v>1</v>
      </c>
      <c r="T265" s="4">
        <v>1</v>
      </c>
      <c r="U265" s="4">
        <v>1</v>
      </c>
      <c r="W265" s="4">
        <v>1</v>
      </c>
      <c r="X265" s="4">
        <v>1</v>
      </c>
      <c r="Y265" s="4">
        <v>1</v>
      </c>
      <c r="Z265" s="4">
        <v>1</v>
      </c>
      <c r="AA265" s="26">
        <v>1</v>
      </c>
      <c r="AR265" s="11">
        <f t="shared" ref="AR265:AR273" si="27">SUM(M265:AQ265)</f>
        <v>9</v>
      </c>
      <c r="AS265" s="11">
        <f t="shared" ref="AS265:AS273" si="28">L265-AR265</f>
        <v>11</v>
      </c>
      <c r="AT265" s="81">
        <f t="shared" ref="AT265:AT273" si="29">AS265*H265</f>
        <v>268.4</v>
      </c>
    </row>
    <row r="266" customHeight="1" spans="1:46">
      <c r="A266" s="4">
        <v>265</v>
      </c>
      <c r="B266" s="4" t="s">
        <v>522</v>
      </c>
      <c r="C266" s="5">
        <v>18372547707</v>
      </c>
      <c r="D266" s="65">
        <v>46148</v>
      </c>
      <c r="E266" s="65">
        <v>46179</v>
      </c>
      <c r="F266" s="4">
        <v>488</v>
      </c>
      <c r="G266" s="4">
        <v>20</v>
      </c>
      <c r="H266" s="66">
        <f t="shared" si="26"/>
        <v>24.4</v>
      </c>
      <c r="I266" s="6" t="s">
        <v>240</v>
      </c>
      <c r="J266" s="6" t="s">
        <v>504</v>
      </c>
      <c r="L266" s="4">
        <v>20</v>
      </c>
      <c r="R266" s="4">
        <v>1</v>
      </c>
      <c r="S266" s="4">
        <v>1</v>
      </c>
      <c r="T266" s="4">
        <v>1</v>
      </c>
      <c r="U266" s="4">
        <v>1</v>
      </c>
      <c r="W266" s="4">
        <v>1</v>
      </c>
      <c r="X266" s="4">
        <v>1</v>
      </c>
      <c r="Y266" s="4">
        <v>1</v>
      </c>
      <c r="Z266" s="4">
        <v>1</v>
      </c>
      <c r="AA266" s="26">
        <v>1</v>
      </c>
      <c r="AR266" s="11">
        <f t="shared" si="27"/>
        <v>9</v>
      </c>
      <c r="AS266" s="11">
        <f t="shared" si="28"/>
        <v>11</v>
      </c>
      <c r="AT266" s="81">
        <f t="shared" si="29"/>
        <v>268.4</v>
      </c>
    </row>
    <row r="267" customHeight="1" spans="1:46">
      <c r="A267" s="4">
        <v>266</v>
      </c>
      <c r="B267" s="4" t="s">
        <v>523</v>
      </c>
      <c r="C267" s="5">
        <v>13872258310</v>
      </c>
      <c r="D267" s="65">
        <v>46148</v>
      </c>
      <c r="E267" s="65">
        <v>46209</v>
      </c>
      <c r="F267" s="4">
        <v>976</v>
      </c>
      <c r="G267" s="4">
        <v>42</v>
      </c>
      <c r="H267" s="66">
        <f t="shared" si="26"/>
        <v>23.2380952380952</v>
      </c>
      <c r="I267" s="4">
        <v>976.42</v>
      </c>
      <c r="J267" s="6" t="s">
        <v>524</v>
      </c>
      <c r="L267" s="4">
        <v>42</v>
      </c>
      <c r="R267" s="4">
        <v>1</v>
      </c>
      <c r="S267" s="4">
        <v>2</v>
      </c>
      <c r="T267" s="4">
        <v>1</v>
      </c>
      <c r="U267" s="4">
        <v>2</v>
      </c>
      <c r="W267" s="4">
        <v>2</v>
      </c>
      <c r="X267" s="4">
        <v>2</v>
      </c>
      <c r="Y267" s="4">
        <v>1</v>
      </c>
      <c r="Z267" s="4">
        <v>2</v>
      </c>
      <c r="AA267" s="26">
        <v>1</v>
      </c>
      <c r="AR267" s="11">
        <f t="shared" si="27"/>
        <v>14</v>
      </c>
      <c r="AS267" s="11">
        <f t="shared" si="28"/>
        <v>28</v>
      </c>
      <c r="AT267" s="81">
        <f t="shared" si="29"/>
        <v>650.666666666666</v>
      </c>
    </row>
    <row r="268" customHeight="1" spans="1:46">
      <c r="A268" s="4">
        <v>267</v>
      </c>
      <c r="B268" s="4" t="s">
        <v>525</v>
      </c>
      <c r="C268" s="5">
        <v>15071141182</v>
      </c>
      <c r="D268" s="65">
        <v>46148</v>
      </c>
      <c r="E268" s="65">
        <v>46179</v>
      </c>
      <c r="F268" s="4">
        <v>488</v>
      </c>
      <c r="G268" s="4">
        <v>20</v>
      </c>
      <c r="H268" s="66">
        <f t="shared" si="26"/>
        <v>24.4</v>
      </c>
      <c r="I268" s="6" t="s">
        <v>240</v>
      </c>
      <c r="J268" s="6" t="s">
        <v>504</v>
      </c>
      <c r="L268" s="4">
        <v>20</v>
      </c>
      <c r="W268" s="4">
        <v>2</v>
      </c>
      <c r="Y268" s="4">
        <v>2</v>
      </c>
      <c r="AR268" s="11">
        <f t="shared" si="27"/>
        <v>4</v>
      </c>
      <c r="AS268" s="11">
        <f t="shared" si="28"/>
        <v>16</v>
      </c>
      <c r="AT268" s="81">
        <f t="shared" si="29"/>
        <v>390.4</v>
      </c>
    </row>
    <row r="269" customHeight="1" spans="1:46">
      <c r="A269" s="4">
        <v>268</v>
      </c>
      <c r="B269" s="4" t="s">
        <v>526</v>
      </c>
      <c r="C269" s="5">
        <v>15527456700</v>
      </c>
      <c r="D269" s="65">
        <v>46148</v>
      </c>
      <c r="E269" s="65">
        <v>46179</v>
      </c>
      <c r="F269" s="4">
        <v>488</v>
      </c>
      <c r="G269" s="4">
        <v>20</v>
      </c>
      <c r="H269" s="66">
        <f t="shared" si="26"/>
        <v>24.4</v>
      </c>
      <c r="I269" s="6" t="s">
        <v>240</v>
      </c>
      <c r="J269" s="6" t="s">
        <v>504</v>
      </c>
      <c r="L269" s="4">
        <v>21</v>
      </c>
      <c r="R269" s="4">
        <v>1</v>
      </c>
      <c r="S269" s="4">
        <v>1</v>
      </c>
      <c r="T269" s="4">
        <v>1</v>
      </c>
      <c r="U269" s="4">
        <v>1</v>
      </c>
      <c r="X269" s="4">
        <v>1</v>
      </c>
      <c r="Y269" s="4">
        <v>1</v>
      </c>
      <c r="Z269" s="4">
        <v>1</v>
      </c>
      <c r="AA269" s="26">
        <v>1</v>
      </c>
      <c r="AR269" s="11">
        <f t="shared" si="27"/>
        <v>8</v>
      </c>
      <c r="AS269" s="11">
        <f t="shared" si="28"/>
        <v>13</v>
      </c>
      <c r="AT269" s="81">
        <f t="shared" si="29"/>
        <v>317.2</v>
      </c>
    </row>
    <row r="270" customHeight="1" spans="1:46">
      <c r="A270" s="4">
        <v>269</v>
      </c>
      <c r="B270" s="4" t="s">
        <v>527</v>
      </c>
      <c r="C270" s="5">
        <v>17607274357</v>
      </c>
      <c r="D270" s="65">
        <v>46149</v>
      </c>
      <c r="E270" s="65">
        <v>46210</v>
      </c>
      <c r="F270" s="4">
        <v>976</v>
      </c>
      <c r="G270" s="4">
        <v>40</v>
      </c>
      <c r="H270" s="66">
        <f t="shared" si="26"/>
        <v>24.4</v>
      </c>
      <c r="I270" s="4" t="s">
        <v>294</v>
      </c>
      <c r="K270" s="6" t="s">
        <v>528</v>
      </c>
      <c r="L270" s="4">
        <v>40</v>
      </c>
      <c r="R270" s="4">
        <v>2</v>
      </c>
      <c r="S270" s="4">
        <v>2</v>
      </c>
      <c r="W270" s="4">
        <v>1</v>
      </c>
      <c r="X270" s="4">
        <v>1</v>
      </c>
      <c r="Y270" s="4">
        <v>1</v>
      </c>
      <c r="Z270" s="4">
        <v>2</v>
      </c>
      <c r="AR270" s="11">
        <f t="shared" si="27"/>
        <v>9</v>
      </c>
      <c r="AS270" s="11">
        <f t="shared" si="28"/>
        <v>31</v>
      </c>
      <c r="AT270" s="81">
        <f t="shared" si="29"/>
        <v>756.4</v>
      </c>
    </row>
    <row r="271" s="4" customFormat="1" customHeight="1" spans="1:46">
      <c r="A271" s="4">
        <v>270</v>
      </c>
      <c r="B271" s="4" t="s">
        <v>529</v>
      </c>
      <c r="C271" s="5">
        <v>15629060052</v>
      </c>
      <c r="D271" s="65">
        <v>46149</v>
      </c>
      <c r="E271" s="65">
        <v>46180</v>
      </c>
      <c r="F271" s="11">
        <v>488</v>
      </c>
      <c r="G271" s="11">
        <v>20</v>
      </c>
      <c r="H271" s="68">
        <f t="shared" si="26"/>
        <v>24.4</v>
      </c>
      <c r="I271" s="11" t="s">
        <v>240</v>
      </c>
      <c r="J271" s="6" t="s">
        <v>366</v>
      </c>
      <c r="K271" s="6" t="s">
        <v>357</v>
      </c>
      <c r="L271" s="4">
        <v>22</v>
      </c>
      <c r="R271" s="4">
        <v>3</v>
      </c>
      <c r="S271" s="4">
        <v>3</v>
      </c>
      <c r="U271" s="4">
        <v>3</v>
      </c>
      <c r="X271" s="4">
        <v>1</v>
      </c>
      <c r="Y271" s="4">
        <v>2</v>
      </c>
      <c r="Z271" s="4">
        <v>1</v>
      </c>
      <c r="AA271" s="26">
        <v>2</v>
      </c>
      <c r="AB271" s="4"/>
      <c r="AC271" s="4"/>
      <c r="AP271" s="5"/>
      <c r="AQ271" s="5"/>
      <c r="AR271" s="4">
        <f t="shared" si="27"/>
        <v>15</v>
      </c>
      <c r="AS271" s="4">
        <f t="shared" si="28"/>
        <v>7</v>
      </c>
      <c r="AT271" s="32">
        <f t="shared" si="29"/>
        <v>170.8</v>
      </c>
    </row>
    <row r="272" s="4" customFormat="1" customHeight="1" spans="1:46">
      <c r="A272" s="4">
        <v>271</v>
      </c>
      <c r="B272" s="4" t="s">
        <v>530</v>
      </c>
      <c r="C272" s="5">
        <v>13217188071</v>
      </c>
      <c r="D272" s="65">
        <v>46148</v>
      </c>
      <c r="E272" s="65">
        <v>46179</v>
      </c>
      <c r="F272" s="4">
        <v>488</v>
      </c>
      <c r="G272" s="4">
        <v>20</v>
      </c>
      <c r="H272" s="66">
        <f t="shared" si="26"/>
        <v>24.4</v>
      </c>
      <c r="I272" s="6" t="s">
        <v>240</v>
      </c>
      <c r="J272" s="6" t="s">
        <v>504</v>
      </c>
      <c r="L272" s="4">
        <v>20</v>
      </c>
      <c r="R272" s="4">
        <v>1</v>
      </c>
      <c r="S272" s="4">
        <v>1</v>
      </c>
      <c r="T272" s="4">
        <v>1</v>
      </c>
      <c r="Y272" s="4">
        <v>2</v>
      </c>
      <c r="Z272" s="4"/>
      <c r="AA272" s="26"/>
      <c r="AB272" s="4"/>
      <c r="AC272" s="4"/>
      <c r="AR272" s="11">
        <f t="shared" si="27"/>
        <v>5</v>
      </c>
      <c r="AS272" s="11">
        <f t="shared" si="28"/>
        <v>15</v>
      </c>
      <c r="AT272" s="81">
        <f t="shared" si="29"/>
        <v>366</v>
      </c>
    </row>
    <row r="273" s="9" customFormat="1" customHeight="1" spans="1:63">
      <c r="A273" s="4">
        <v>272</v>
      </c>
      <c r="B273" s="13" t="s">
        <v>531</v>
      </c>
      <c r="C273" s="94">
        <v>18507142877</v>
      </c>
      <c r="D273" s="65">
        <v>45783</v>
      </c>
      <c r="E273" s="65">
        <v>46240</v>
      </c>
      <c r="F273" s="4">
        <v>788</v>
      </c>
      <c r="G273" s="4">
        <v>32</v>
      </c>
      <c r="H273" s="66">
        <f t="shared" si="26"/>
        <v>24.625</v>
      </c>
      <c r="I273" s="4" t="s">
        <v>279</v>
      </c>
      <c r="J273" s="4" t="s">
        <v>532</v>
      </c>
      <c r="K273" s="4" t="s">
        <v>533</v>
      </c>
      <c r="L273" s="33">
        <v>32</v>
      </c>
      <c r="M273" s="4"/>
      <c r="N273" s="4"/>
      <c r="O273" s="4"/>
      <c r="P273" s="4"/>
      <c r="Q273" s="4"/>
      <c r="R273" s="4"/>
      <c r="S273" s="4">
        <v>2</v>
      </c>
      <c r="T273" s="4">
        <v>1</v>
      </c>
      <c r="U273" s="4">
        <v>2</v>
      </c>
      <c r="V273" s="4"/>
      <c r="W273" s="4">
        <v>1</v>
      </c>
      <c r="X273" s="4">
        <v>2</v>
      </c>
      <c r="Y273" s="4">
        <v>2</v>
      </c>
      <c r="Z273" s="4"/>
      <c r="AA273" s="26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6"/>
      <c r="AQ273" s="4"/>
      <c r="AR273" s="4">
        <f t="shared" si="27"/>
        <v>10</v>
      </c>
      <c r="AS273" s="4">
        <f t="shared" si="28"/>
        <v>22</v>
      </c>
      <c r="AT273" s="32">
        <f t="shared" si="29"/>
        <v>541.75</v>
      </c>
      <c r="AU273" s="4">
        <v>246</v>
      </c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</row>
    <row r="274" customHeight="1" spans="1:63">
      <c r="A274" s="4">
        <v>273</v>
      </c>
      <c r="B274" s="4" t="s">
        <v>534</v>
      </c>
      <c r="C274" s="5">
        <v>15927370959</v>
      </c>
      <c r="D274" s="65">
        <v>46148</v>
      </c>
      <c r="E274" s="65">
        <v>46179</v>
      </c>
      <c r="F274" s="4">
        <v>488</v>
      </c>
      <c r="G274" s="4">
        <v>20</v>
      </c>
      <c r="H274" s="66">
        <f t="shared" si="26"/>
        <v>24.4</v>
      </c>
      <c r="I274" s="6" t="s">
        <v>240</v>
      </c>
      <c r="J274" s="6" t="s">
        <v>504</v>
      </c>
      <c r="L274" s="4">
        <v>20</v>
      </c>
      <c r="R274" s="4">
        <v>1</v>
      </c>
      <c r="S274" s="4">
        <v>1</v>
      </c>
      <c r="T274" s="4">
        <v>1</v>
      </c>
      <c r="U274" s="4">
        <v>1</v>
      </c>
      <c r="W274" s="4">
        <v>1</v>
      </c>
      <c r="X274" s="4">
        <v>1</v>
      </c>
      <c r="Y274" s="4">
        <v>1</v>
      </c>
      <c r="AA274" s="26">
        <v>1</v>
      </c>
      <c r="AR274" s="11">
        <f t="shared" ref="AR274:AR312" si="30">SUM(M274:AQ274)</f>
        <v>8</v>
      </c>
      <c r="AS274" s="11">
        <f t="shared" ref="AS274:AS317" si="31">L274-AR274</f>
        <v>12</v>
      </c>
      <c r="AT274" s="81">
        <f t="shared" ref="AT274:AT317" si="32">AS274*H274</f>
        <v>292.8</v>
      </c>
    </row>
    <row r="275" customHeight="1" spans="1:63">
      <c r="A275" s="4">
        <v>274</v>
      </c>
      <c r="B275" s="4" t="s">
        <v>535</v>
      </c>
      <c r="C275" s="5">
        <v>15971367262</v>
      </c>
      <c r="D275" s="65">
        <v>46148</v>
      </c>
      <c r="E275" s="65">
        <v>46179</v>
      </c>
      <c r="F275" s="4">
        <v>488</v>
      </c>
      <c r="G275" s="4">
        <v>20</v>
      </c>
      <c r="H275" s="66">
        <f t="shared" si="26"/>
        <v>24.4</v>
      </c>
      <c r="I275" s="6" t="s">
        <v>240</v>
      </c>
      <c r="J275" s="6" t="s">
        <v>504</v>
      </c>
      <c r="L275" s="4">
        <v>20</v>
      </c>
      <c r="R275" s="4">
        <v>1</v>
      </c>
      <c r="S275" s="4">
        <v>1</v>
      </c>
      <c r="T275" s="4">
        <v>2</v>
      </c>
      <c r="U275" s="4">
        <v>2</v>
      </c>
      <c r="W275" s="4">
        <v>1</v>
      </c>
      <c r="Z275" s="4">
        <v>1</v>
      </c>
      <c r="AA275" s="26">
        <v>2</v>
      </c>
      <c r="AR275" s="11">
        <f t="shared" si="30"/>
        <v>10</v>
      </c>
      <c r="AS275" s="11">
        <f t="shared" si="31"/>
        <v>10</v>
      </c>
      <c r="AT275" s="81">
        <f t="shared" si="32"/>
        <v>244</v>
      </c>
    </row>
    <row r="276" customHeight="1" spans="1:63">
      <c r="A276" s="4">
        <v>275</v>
      </c>
      <c r="B276" s="4" t="s">
        <v>536</v>
      </c>
      <c r="C276" s="5">
        <v>18152083858</v>
      </c>
      <c r="D276" s="65">
        <v>46148</v>
      </c>
      <c r="E276" s="65">
        <v>46179</v>
      </c>
      <c r="F276" s="4">
        <v>488</v>
      </c>
      <c r="G276" s="4">
        <v>20</v>
      </c>
      <c r="H276" s="66">
        <f t="shared" si="26"/>
        <v>24.4</v>
      </c>
      <c r="I276" s="6" t="s">
        <v>240</v>
      </c>
      <c r="J276" s="6" t="s">
        <v>504</v>
      </c>
      <c r="L276" s="4">
        <v>20</v>
      </c>
      <c r="W276" s="4">
        <v>1</v>
      </c>
      <c r="X276" s="4">
        <v>1</v>
      </c>
      <c r="Y276" s="4">
        <v>1</v>
      </c>
      <c r="Z276" s="4">
        <v>1</v>
      </c>
      <c r="AA276" s="26">
        <v>1</v>
      </c>
      <c r="AR276" s="11">
        <f t="shared" si="30"/>
        <v>5</v>
      </c>
      <c r="AS276" s="11">
        <f t="shared" si="31"/>
        <v>15</v>
      </c>
      <c r="AT276" s="81">
        <f t="shared" si="32"/>
        <v>366</v>
      </c>
    </row>
    <row r="277" customHeight="1" spans="1:63">
      <c r="A277" s="4">
        <v>276</v>
      </c>
      <c r="B277" s="4" t="s">
        <v>537</v>
      </c>
      <c r="C277" s="5">
        <v>15907264317</v>
      </c>
      <c r="D277" s="65">
        <v>46148</v>
      </c>
      <c r="E277" s="65">
        <v>46179</v>
      </c>
      <c r="F277" s="4">
        <v>488</v>
      </c>
      <c r="G277" s="4">
        <v>20</v>
      </c>
      <c r="H277" s="66">
        <f t="shared" si="26"/>
        <v>24.4</v>
      </c>
      <c r="I277" s="6" t="s">
        <v>240</v>
      </c>
      <c r="J277" s="6" t="s">
        <v>504</v>
      </c>
      <c r="L277" s="4">
        <v>20</v>
      </c>
      <c r="R277" s="4">
        <v>1</v>
      </c>
      <c r="S277" s="4">
        <v>1</v>
      </c>
      <c r="T277" s="4">
        <v>1</v>
      </c>
      <c r="W277" s="4">
        <v>1</v>
      </c>
      <c r="Y277" s="4">
        <v>1</v>
      </c>
      <c r="AA277" s="26">
        <v>1</v>
      </c>
      <c r="AR277" s="11">
        <f t="shared" si="30"/>
        <v>6</v>
      </c>
      <c r="AS277" s="11">
        <f t="shared" si="31"/>
        <v>14</v>
      </c>
      <c r="AT277" s="81">
        <f t="shared" si="32"/>
        <v>341.6</v>
      </c>
    </row>
    <row r="278" customHeight="1" spans="1:63">
      <c r="A278" s="4">
        <v>277</v>
      </c>
      <c r="B278" s="4" t="s">
        <v>538</v>
      </c>
      <c r="C278" s="5">
        <v>18607911134</v>
      </c>
      <c r="D278" s="65">
        <v>46148</v>
      </c>
      <c r="E278" s="65">
        <v>46179</v>
      </c>
      <c r="F278" s="4">
        <v>488</v>
      </c>
      <c r="G278" s="4">
        <v>20</v>
      </c>
      <c r="H278" s="66">
        <f t="shared" ref="H278:H341" si="33">F278/G278</f>
        <v>24.4</v>
      </c>
      <c r="I278" s="6" t="s">
        <v>240</v>
      </c>
      <c r="K278" s="6" t="s">
        <v>504</v>
      </c>
      <c r="L278" s="4">
        <v>20</v>
      </c>
      <c r="S278" s="4">
        <v>1</v>
      </c>
      <c r="T278" s="4">
        <v>1</v>
      </c>
      <c r="W278" s="4">
        <v>1</v>
      </c>
      <c r="X278" s="4">
        <v>1</v>
      </c>
      <c r="Z278" s="4">
        <v>1</v>
      </c>
      <c r="AA278" s="26">
        <v>1</v>
      </c>
      <c r="AR278" s="11">
        <f t="shared" si="30"/>
        <v>6</v>
      </c>
      <c r="AS278" s="11">
        <f t="shared" si="31"/>
        <v>14</v>
      </c>
      <c r="AT278" s="81">
        <f t="shared" si="32"/>
        <v>341.6</v>
      </c>
    </row>
    <row r="279" customHeight="1" spans="1:63">
      <c r="A279" s="4">
        <v>278</v>
      </c>
      <c r="B279" s="4" t="s">
        <v>539</v>
      </c>
      <c r="C279" s="5">
        <v>16639228052</v>
      </c>
      <c r="D279" s="65">
        <v>46148</v>
      </c>
      <c r="E279" s="65">
        <v>46179</v>
      </c>
      <c r="F279" s="4">
        <v>488</v>
      </c>
      <c r="G279" s="4">
        <v>20</v>
      </c>
      <c r="H279" s="66">
        <f t="shared" si="33"/>
        <v>24.4</v>
      </c>
      <c r="I279" s="6" t="s">
        <v>240</v>
      </c>
      <c r="J279" s="6" t="s">
        <v>504</v>
      </c>
      <c r="L279" s="4">
        <v>20</v>
      </c>
      <c r="R279" s="4">
        <v>1</v>
      </c>
      <c r="T279" s="4">
        <v>1</v>
      </c>
      <c r="U279" s="4">
        <v>1</v>
      </c>
      <c r="Y279" s="4">
        <v>1</v>
      </c>
      <c r="Z279" s="4">
        <v>1</v>
      </c>
      <c r="AA279" s="26">
        <v>2</v>
      </c>
      <c r="AR279" s="11">
        <f t="shared" si="30"/>
        <v>7</v>
      </c>
      <c r="AS279" s="11">
        <f t="shared" si="31"/>
        <v>13</v>
      </c>
      <c r="AT279" s="81">
        <f t="shared" si="32"/>
        <v>317.2</v>
      </c>
    </row>
    <row r="280" customHeight="1" spans="1:63">
      <c r="A280" s="4">
        <v>279</v>
      </c>
      <c r="B280" s="4" t="s">
        <v>540</v>
      </c>
      <c r="C280" s="5">
        <v>13163336121</v>
      </c>
      <c r="D280" s="65">
        <v>46148</v>
      </c>
      <c r="E280" s="65">
        <v>46179</v>
      </c>
      <c r="F280" s="4">
        <v>488</v>
      </c>
      <c r="G280" s="4">
        <v>20</v>
      </c>
      <c r="H280" s="66">
        <f t="shared" si="33"/>
        <v>24.4</v>
      </c>
      <c r="I280" s="6" t="s">
        <v>240</v>
      </c>
      <c r="J280" s="6" t="s">
        <v>504</v>
      </c>
      <c r="L280" s="4">
        <v>20</v>
      </c>
      <c r="R280" s="4">
        <v>1</v>
      </c>
      <c r="S280" s="4">
        <v>1</v>
      </c>
      <c r="T280" s="4">
        <v>1</v>
      </c>
      <c r="W280" s="4">
        <v>1</v>
      </c>
      <c r="X280" s="4">
        <v>1</v>
      </c>
      <c r="Y280" s="4">
        <v>1</v>
      </c>
      <c r="Z280" s="4">
        <v>1</v>
      </c>
      <c r="AA280" s="26">
        <v>1</v>
      </c>
      <c r="AR280" s="11">
        <f t="shared" si="30"/>
        <v>8</v>
      </c>
      <c r="AS280" s="11">
        <f t="shared" si="31"/>
        <v>12</v>
      </c>
      <c r="AT280" s="81">
        <f t="shared" si="32"/>
        <v>292.8</v>
      </c>
    </row>
    <row r="281" customHeight="1" spans="1:63">
      <c r="A281" s="4">
        <v>280</v>
      </c>
      <c r="B281" s="4" t="s">
        <v>541</v>
      </c>
      <c r="C281" s="5">
        <v>17388993316</v>
      </c>
      <c r="D281" s="65">
        <v>46148</v>
      </c>
      <c r="E281" s="65">
        <v>46179</v>
      </c>
      <c r="F281" s="4">
        <v>488</v>
      </c>
      <c r="G281" s="4">
        <v>20</v>
      </c>
      <c r="H281" s="66">
        <f t="shared" si="33"/>
        <v>24.4</v>
      </c>
      <c r="I281" s="6" t="s">
        <v>240</v>
      </c>
      <c r="J281" s="6" t="s">
        <v>504</v>
      </c>
      <c r="L281" s="4">
        <v>20</v>
      </c>
      <c r="S281" s="4">
        <v>1</v>
      </c>
      <c r="T281" s="4">
        <v>1</v>
      </c>
      <c r="X281" s="4">
        <v>1</v>
      </c>
      <c r="Z281" s="4">
        <v>1</v>
      </c>
      <c r="AA281" s="26">
        <v>1</v>
      </c>
      <c r="AR281" s="11">
        <f t="shared" si="30"/>
        <v>5</v>
      </c>
      <c r="AS281" s="11">
        <f t="shared" si="31"/>
        <v>15</v>
      </c>
      <c r="AT281" s="81">
        <f t="shared" si="32"/>
        <v>366</v>
      </c>
    </row>
    <row r="282" customHeight="1" spans="1:63">
      <c r="A282" s="4">
        <v>281</v>
      </c>
      <c r="B282" s="4" t="s">
        <v>542</v>
      </c>
      <c r="C282" s="5">
        <v>13991988625</v>
      </c>
      <c r="D282" s="65">
        <v>46148</v>
      </c>
      <c r="E282" s="65">
        <v>46179</v>
      </c>
      <c r="F282" s="4">
        <v>488</v>
      </c>
      <c r="G282" s="4">
        <v>20</v>
      </c>
      <c r="H282" s="66">
        <f t="shared" si="33"/>
        <v>24.4</v>
      </c>
      <c r="I282" s="6" t="s">
        <v>240</v>
      </c>
      <c r="J282" s="6" t="s">
        <v>504</v>
      </c>
      <c r="L282" s="4">
        <v>20</v>
      </c>
      <c r="S282" s="4">
        <v>1</v>
      </c>
      <c r="Y282" s="4">
        <v>1</v>
      </c>
      <c r="Z282" s="4">
        <v>1</v>
      </c>
      <c r="AA282" s="26">
        <v>2</v>
      </c>
      <c r="AR282" s="11">
        <f t="shared" si="30"/>
        <v>5</v>
      </c>
      <c r="AS282" s="11">
        <f t="shared" si="31"/>
        <v>15</v>
      </c>
      <c r="AT282" s="81">
        <f t="shared" si="32"/>
        <v>366</v>
      </c>
    </row>
    <row r="283" customHeight="1" spans="1:63">
      <c r="A283" s="4">
        <v>282</v>
      </c>
      <c r="B283" s="4" t="s">
        <v>543</v>
      </c>
      <c r="C283" s="5">
        <v>17707257858</v>
      </c>
      <c r="D283" s="65">
        <v>46148</v>
      </c>
      <c r="E283" s="65">
        <v>46179</v>
      </c>
      <c r="F283" s="4">
        <v>488</v>
      </c>
      <c r="G283" s="4">
        <v>20</v>
      </c>
      <c r="H283" s="66">
        <f t="shared" si="33"/>
        <v>24.4</v>
      </c>
      <c r="I283" s="6" t="s">
        <v>240</v>
      </c>
      <c r="J283" s="6" t="s">
        <v>504</v>
      </c>
      <c r="L283" s="4">
        <v>20</v>
      </c>
      <c r="R283" s="4">
        <v>1</v>
      </c>
      <c r="S283" s="4">
        <v>1</v>
      </c>
      <c r="U283" s="4">
        <v>1</v>
      </c>
      <c r="AA283" s="26">
        <v>2</v>
      </c>
      <c r="AR283" s="11">
        <f t="shared" si="30"/>
        <v>5</v>
      </c>
      <c r="AS283" s="11">
        <f t="shared" si="31"/>
        <v>15</v>
      </c>
      <c r="AT283" s="81">
        <f t="shared" si="32"/>
        <v>366</v>
      </c>
    </row>
    <row r="284" customHeight="1" spans="1:63">
      <c r="A284" s="4">
        <v>283</v>
      </c>
      <c r="B284" s="4" t="s">
        <v>544</v>
      </c>
      <c r="C284" s="5">
        <v>15671579689</v>
      </c>
      <c r="D284" s="65">
        <v>46148</v>
      </c>
      <c r="E284" s="65">
        <v>46179</v>
      </c>
      <c r="F284" s="4">
        <v>299</v>
      </c>
      <c r="G284" s="4">
        <v>9</v>
      </c>
      <c r="H284" s="66">
        <f t="shared" si="33"/>
        <v>33.2222222222222</v>
      </c>
      <c r="I284" s="4">
        <v>299.9</v>
      </c>
      <c r="J284" s="6" t="s">
        <v>545</v>
      </c>
      <c r="L284" s="4">
        <v>9</v>
      </c>
      <c r="R284" s="4">
        <v>1</v>
      </c>
      <c r="S284" s="4">
        <v>1</v>
      </c>
      <c r="T284" s="4">
        <v>1</v>
      </c>
      <c r="U284" s="4">
        <v>1</v>
      </c>
      <c r="W284" s="4">
        <v>1</v>
      </c>
      <c r="X284" s="4">
        <v>1</v>
      </c>
      <c r="AR284" s="11">
        <f t="shared" si="30"/>
        <v>6</v>
      </c>
      <c r="AS284" s="11">
        <f t="shared" si="31"/>
        <v>3</v>
      </c>
      <c r="AT284" s="81">
        <f t="shared" si="32"/>
        <v>99.6666666666666</v>
      </c>
    </row>
    <row r="285" customHeight="1" spans="1:63">
      <c r="A285" s="4">
        <v>284</v>
      </c>
      <c r="B285" s="4" t="s">
        <v>546</v>
      </c>
      <c r="C285" s="5">
        <v>15527389052</v>
      </c>
      <c r="D285" s="65">
        <v>46148</v>
      </c>
      <c r="E285" s="65">
        <v>46179</v>
      </c>
      <c r="F285" s="4">
        <v>488</v>
      </c>
      <c r="G285" s="4">
        <v>20</v>
      </c>
      <c r="H285" s="66">
        <f t="shared" si="33"/>
        <v>24.4</v>
      </c>
      <c r="I285" s="6" t="s">
        <v>240</v>
      </c>
      <c r="J285" s="6" t="s">
        <v>504</v>
      </c>
      <c r="L285" s="4">
        <v>20</v>
      </c>
      <c r="R285" s="4">
        <v>1</v>
      </c>
      <c r="S285" s="4">
        <v>2</v>
      </c>
      <c r="T285" s="4">
        <v>1</v>
      </c>
      <c r="U285" s="4">
        <v>2</v>
      </c>
      <c r="W285" s="4">
        <v>1</v>
      </c>
      <c r="X285" s="4">
        <v>1</v>
      </c>
      <c r="Y285" s="4">
        <v>2</v>
      </c>
      <c r="Z285" s="4">
        <v>1</v>
      </c>
      <c r="AA285" s="26">
        <v>1</v>
      </c>
      <c r="AR285" s="11">
        <f t="shared" si="30"/>
        <v>12</v>
      </c>
      <c r="AS285" s="11">
        <f t="shared" si="31"/>
        <v>8</v>
      </c>
      <c r="AT285" s="81">
        <f t="shared" si="32"/>
        <v>195.2</v>
      </c>
    </row>
    <row r="286" customHeight="1" spans="1:63">
      <c r="A286" s="4">
        <v>285</v>
      </c>
      <c r="B286" s="4" t="s">
        <v>547</v>
      </c>
      <c r="C286" s="5">
        <v>17362926480</v>
      </c>
      <c r="D286" s="65">
        <v>46148</v>
      </c>
      <c r="E286" s="65">
        <v>46179</v>
      </c>
      <c r="F286" s="4">
        <v>488</v>
      </c>
      <c r="G286" s="4">
        <v>20</v>
      </c>
      <c r="H286" s="66">
        <f t="shared" si="33"/>
        <v>24.4</v>
      </c>
      <c r="I286" s="6" t="s">
        <v>240</v>
      </c>
      <c r="J286" s="6" t="s">
        <v>504</v>
      </c>
      <c r="L286" s="4">
        <v>20</v>
      </c>
      <c r="R286" s="4">
        <v>1</v>
      </c>
      <c r="T286" s="4">
        <v>1</v>
      </c>
      <c r="U286" s="4">
        <v>1</v>
      </c>
      <c r="W286" s="4">
        <v>1</v>
      </c>
      <c r="Y286" s="4">
        <v>2</v>
      </c>
      <c r="AA286" s="26">
        <v>2</v>
      </c>
      <c r="AR286" s="11">
        <f t="shared" si="30"/>
        <v>8</v>
      </c>
      <c r="AS286" s="11">
        <f t="shared" si="31"/>
        <v>12</v>
      </c>
      <c r="AT286" s="81">
        <f t="shared" si="32"/>
        <v>292.8</v>
      </c>
    </row>
    <row r="287" customHeight="1" spans="1:63">
      <c r="A287" s="4">
        <v>286</v>
      </c>
      <c r="B287" s="4" t="s">
        <v>548</v>
      </c>
      <c r="C287" s="5">
        <v>15527545923</v>
      </c>
      <c r="D287" s="65">
        <v>46148</v>
      </c>
      <c r="E287" s="65">
        <v>46179</v>
      </c>
      <c r="F287" s="4">
        <v>488</v>
      </c>
      <c r="G287" s="4">
        <v>20</v>
      </c>
      <c r="H287" s="66">
        <f t="shared" si="33"/>
        <v>24.4</v>
      </c>
      <c r="I287" s="6" t="s">
        <v>240</v>
      </c>
      <c r="J287" s="6" t="s">
        <v>504</v>
      </c>
      <c r="L287" s="4">
        <v>20</v>
      </c>
      <c r="R287" s="4">
        <v>1</v>
      </c>
      <c r="S287" s="4">
        <v>1</v>
      </c>
      <c r="T287" s="4">
        <v>1</v>
      </c>
      <c r="U287" s="4">
        <v>1</v>
      </c>
      <c r="X287" s="4">
        <v>1</v>
      </c>
      <c r="Z287" s="4">
        <v>1</v>
      </c>
      <c r="AA287" s="26">
        <v>1</v>
      </c>
      <c r="AR287" s="11">
        <f t="shared" si="30"/>
        <v>7</v>
      </c>
      <c r="AS287" s="11">
        <f t="shared" si="31"/>
        <v>13</v>
      </c>
      <c r="AT287" s="81">
        <f t="shared" si="32"/>
        <v>317.2</v>
      </c>
    </row>
    <row r="288" customHeight="1" spans="1:63">
      <c r="A288" s="4">
        <v>287</v>
      </c>
      <c r="B288" s="4" t="s">
        <v>549</v>
      </c>
      <c r="C288" s="5">
        <v>13658102152</v>
      </c>
      <c r="D288" s="65">
        <v>46148</v>
      </c>
      <c r="E288" s="65">
        <v>46179</v>
      </c>
      <c r="F288" s="4">
        <v>488</v>
      </c>
      <c r="G288" s="4">
        <v>20</v>
      </c>
      <c r="H288" s="66">
        <f t="shared" si="33"/>
        <v>24.4</v>
      </c>
      <c r="I288" s="6" t="s">
        <v>240</v>
      </c>
      <c r="J288" s="6" t="s">
        <v>504</v>
      </c>
      <c r="L288" s="4">
        <v>20</v>
      </c>
      <c r="S288" s="4">
        <v>1</v>
      </c>
      <c r="Y288" s="4">
        <v>1</v>
      </c>
      <c r="Z288" s="4">
        <v>2</v>
      </c>
      <c r="AR288" s="11">
        <f t="shared" si="30"/>
        <v>4</v>
      </c>
      <c r="AS288" s="11">
        <f t="shared" si="31"/>
        <v>16</v>
      </c>
      <c r="AT288" s="81">
        <f t="shared" si="32"/>
        <v>390.4</v>
      </c>
    </row>
    <row r="289" customHeight="1" spans="1:46">
      <c r="A289" s="4">
        <v>288</v>
      </c>
      <c r="B289" s="4" t="s">
        <v>550</v>
      </c>
      <c r="C289" s="5">
        <v>18684809514</v>
      </c>
      <c r="D289" s="65">
        <v>46148</v>
      </c>
      <c r="E289" s="65">
        <v>46179</v>
      </c>
      <c r="F289" s="4">
        <v>488</v>
      </c>
      <c r="G289" s="4">
        <v>20</v>
      </c>
      <c r="H289" s="66">
        <f t="shared" si="33"/>
        <v>24.4</v>
      </c>
      <c r="I289" s="6" t="s">
        <v>240</v>
      </c>
      <c r="J289" s="6"/>
      <c r="K289" s="6" t="s">
        <v>504</v>
      </c>
      <c r="L289" s="4">
        <v>20</v>
      </c>
      <c r="S289" s="4">
        <v>1</v>
      </c>
      <c r="T289" s="4">
        <v>1</v>
      </c>
      <c r="X289" s="4">
        <v>1</v>
      </c>
      <c r="Y289" s="4">
        <v>1</v>
      </c>
      <c r="Z289" s="4">
        <v>1</v>
      </c>
      <c r="AA289" s="26">
        <v>1</v>
      </c>
      <c r="AR289" s="11">
        <f t="shared" si="30"/>
        <v>6</v>
      </c>
      <c r="AS289" s="11">
        <f t="shared" si="31"/>
        <v>14</v>
      </c>
      <c r="AT289" s="81">
        <f t="shared" si="32"/>
        <v>341.6</v>
      </c>
    </row>
    <row r="290" customHeight="1" spans="1:46">
      <c r="A290" s="4">
        <v>289</v>
      </c>
      <c r="B290" s="4" t="s">
        <v>551</v>
      </c>
      <c r="C290" s="5">
        <v>17764217595</v>
      </c>
      <c r="D290" s="65">
        <v>46148</v>
      </c>
      <c r="E290" s="65">
        <v>46179</v>
      </c>
      <c r="F290" s="4">
        <v>488</v>
      </c>
      <c r="G290" s="4">
        <v>20</v>
      </c>
      <c r="H290" s="66">
        <f t="shared" si="33"/>
        <v>24.4</v>
      </c>
      <c r="I290" s="6" t="s">
        <v>240</v>
      </c>
      <c r="J290" s="6" t="s">
        <v>504</v>
      </c>
      <c r="L290" s="4">
        <v>20</v>
      </c>
      <c r="R290" s="4">
        <v>1</v>
      </c>
      <c r="T290" s="4">
        <v>1</v>
      </c>
      <c r="Z290" s="4">
        <v>1</v>
      </c>
      <c r="AA290" s="26">
        <v>1</v>
      </c>
      <c r="AR290" s="11">
        <f t="shared" si="30"/>
        <v>4</v>
      </c>
      <c r="AS290" s="11">
        <f t="shared" si="31"/>
        <v>16</v>
      </c>
      <c r="AT290" s="81">
        <f t="shared" si="32"/>
        <v>390.4</v>
      </c>
    </row>
    <row r="291" customHeight="1" spans="1:46">
      <c r="A291" s="4">
        <v>290</v>
      </c>
      <c r="B291" s="4" t="s">
        <v>552</v>
      </c>
      <c r="C291" s="5">
        <v>15595907669</v>
      </c>
      <c r="D291" s="65">
        <v>46148</v>
      </c>
      <c r="E291" s="65">
        <v>46179</v>
      </c>
      <c r="F291" s="4">
        <v>488</v>
      </c>
      <c r="G291" s="4">
        <v>20</v>
      </c>
      <c r="H291" s="66">
        <f t="shared" si="33"/>
        <v>24.4</v>
      </c>
      <c r="I291" s="6" t="s">
        <v>240</v>
      </c>
      <c r="J291" s="6" t="s">
        <v>504</v>
      </c>
      <c r="L291" s="4">
        <v>20</v>
      </c>
      <c r="S291" s="4">
        <v>1</v>
      </c>
      <c r="T291" s="4">
        <v>1</v>
      </c>
      <c r="Z291" s="4">
        <v>1</v>
      </c>
      <c r="AA291" s="26">
        <v>1</v>
      </c>
      <c r="AR291" s="11">
        <f t="shared" si="30"/>
        <v>4</v>
      </c>
      <c r="AS291" s="11">
        <f t="shared" si="31"/>
        <v>16</v>
      </c>
      <c r="AT291" s="81">
        <f t="shared" si="32"/>
        <v>390.4</v>
      </c>
    </row>
    <row r="292" customHeight="1" spans="1:46">
      <c r="A292" s="4">
        <v>291</v>
      </c>
      <c r="B292" s="4" t="s">
        <v>553</v>
      </c>
      <c r="C292" s="5">
        <v>13349746306</v>
      </c>
      <c r="D292" s="65">
        <v>46148</v>
      </c>
      <c r="E292" s="65">
        <v>46179</v>
      </c>
      <c r="F292" s="4">
        <v>488</v>
      </c>
      <c r="G292" s="4">
        <v>20</v>
      </c>
      <c r="H292" s="66">
        <f t="shared" si="33"/>
        <v>24.4</v>
      </c>
      <c r="I292" s="6" t="s">
        <v>240</v>
      </c>
      <c r="J292" s="6" t="s">
        <v>504</v>
      </c>
      <c r="L292" s="4">
        <v>20</v>
      </c>
      <c r="S292" s="4">
        <v>1</v>
      </c>
      <c r="U292" s="4">
        <v>2</v>
      </c>
      <c r="X292" s="4">
        <v>1</v>
      </c>
      <c r="Z292" s="4">
        <v>1</v>
      </c>
      <c r="AR292" s="11">
        <f t="shared" si="30"/>
        <v>5</v>
      </c>
      <c r="AS292" s="11">
        <f t="shared" si="31"/>
        <v>15</v>
      </c>
      <c r="AT292" s="81">
        <f t="shared" si="32"/>
        <v>366</v>
      </c>
    </row>
    <row r="293" customHeight="1" spans="1:46">
      <c r="A293" s="4">
        <v>292</v>
      </c>
      <c r="B293" s="4" t="s">
        <v>554</v>
      </c>
      <c r="C293" s="5">
        <v>19724039686</v>
      </c>
      <c r="D293" s="65">
        <v>46148</v>
      </c>
      <c r="E293" s="65">
        <v>46179</v>
      </c>
      <c r="F293" s="4">
        <v>488</v>
      </c>
      <c r="G293" s="4">
        <v>20</v>
      </c>
      <c r="H293" s="66">
        <f t="shared" si="33"/>
        <v>24.4</v>
      </c>
      <c r="I293" s="6" t="s">
        <v>240</v>
      </c>
      <c r="J293" s="6" t="s">
        <v>504</v>
      </c>
      <c r="L293" s="4">
        <v>20</v>
      </c>
      <c r="R293" s="4">
        <v>1</v>
      </c>
      <c r="S293" s="4">
        <v>1</v>
      </c>
      <c r="T293" s="4">
        <v>1</v>
      </c>
      <c r="U293" s="4">
        <v>1</v>
      </c>
      <c r="W293" s="4">
        <v>1</v>
      </c>
      <c r="X293" s="4">
        <v>1</v>
      </c>
      <c r="Y293" s="4">
        <v>1</v>
      </c>
      <c r="AA293" s="26">
        <v>1</v>
      </c>
      <c r="AR293" s="11">
        <f t="shared" si="30"/>
        <v>8</v>
      </c>
      <c r="AS293" s="11">
        <f t="shared" si="31"/>
        <v>12</v>
      </c>
      <c r="AT293" s="81">
        <f t="shared" si="32"/>
        <v>292.8</v>
      </c>
    </row>
    <row r="294" customHeight="1" spans="1:46">
      <c r="A294" s="4">
        <v>293</v>
      </c>
      <c r="B294" s="4" t="s">
        <v>555</v>
      </c>
      <c r="C294" s="5">
        <v>13667130144</v>
      </c>
      <c r="D294" s="65">
        <v>46149</v>
      </c>
      <c r="E294" s="65">
        <v>46180</v>
      </c>
      <c r="F294" s="4">
        <v>588</v>
      </c>
      <c r="G294" s="4">
        <v>20</v>
      </c>
      <c r="H294" s="66">
        <f t="shared" si="33"/>
        <v>29.4</v>
      </c>
      <c r="I294" s="4" t="s">
        <v>160</v>
      </c>
      <c r="J294" s="6" t="s">
        <v>556</v>
      </c>
      <c r="L294" s="4">
        <v>20</v>
      </c>
      <c r="R294" s="4">
        <v>0</v>
      </c>
      <c r="S294" s="4">
        <v>1</v>
      </c>
      <c r="T294" s="4">
        <v>2</v>
      </c>
      <c r="U294" s="4">
        <v>1</v>
      </c>
      <c r="W294" s="4">
        <v>1</v>
      </c>
      <c r="X294" s="4">
        <v>1</v>
      </c>
      <c r="Y294" s="4">
        <v>1</v>
      </c>
      <c r="Z294" s="4">
        <v>1</v>
      </c>
      <c r="AA294" s="26">
        <v>1</v>
      </c>
      <c r="AR294" s="11">
        <f t="shared" si="30"/>
        <v>9</v>
      </c>
      <c r="AS294" s="11">
        <f t="shared" si="31"/>
        <v>11</v>
      </c>
      <c r="AT294" s="81">
        <f t="shared" si="32"/>
        <v>323.4</v>
      </c>
    </row>
    <row r="295" customHeight="1" spans="1:46">
      <c r="A295" s="4">
        <v>294</v>
      </c>
      <c r="B295" s="4" t="s">
        <v>557</v>
      </c>
      <c r="C295" s="5">
        <v>18565455029</v>
      </c>
      <c r="D295" s="65">
        <v>46148</v>
      </c>
      <c r="E295" s="65">
        <v>46179</v>
      </c>
      <c r="F295" s="4">
        <v>488</v>
      </c>
      <c r="G295" s="4">
        <v>20</v>
      </c>
      <c r="H295" s="66">
        <f t="shared" si="33"/>
        <v>24.4</v>
      </c>
      <c r="I295" s="6" t="s">
        <v>240</v>
      </c>
      <c r="J295" s="6" t="s">
        <v>504</v>
      </c>
      <c r="L295" s="4">
        <v>20</v>
      </c>
      <c r="S295" s="4">
        <v>1</v>
      </c>
      <c r="T295" s="4">
        <v>1</v>
      </c>
      <c r="W295" s="4">
        <v>1</v>
      </c>
      <c r="X295" s="4">
        <v>1</v>
      </c>
      <c r="Y295" s="4">
        <v>1</v>
      </c>
      <c r="Z295" s="4">
        <v>1</v>
      </c>
      <c r="AR295" s="11">
        <f t="shared" si="30"/>
        <v>6</v>
      </c>
      <c r="AS295" s="11">
        <f t="shared" si="31"/>
        <v>14</v>
      </c>
      <c r="AT295" s="81">
        <f t="shared" si="32"/>
        <v>341.6</v>
      </c>
    </row>
    <row r="296" s="4" customFormat="1" customHeight="1" spans="1:46">
      <c r="A296" s="4">
        <v>295</v>
      </c>
      <c r="B296" s="4" t="s">
        <v>558</v>
      </c>
      <c r="C296" s="5">
        <v>15527787827</v>
      </c>
      <c r="D296" s="65">
        <v>46152</v>
      </c>
      <c r="E296" s="65">
        <v>46183</v>
      </c>
      <c r="F296" s="4">
        <v>488</v>
      </c>
      <c r="G296" s="4">
        <v>20</v>
      </c>
      <c r="H296" s="66">
        <f t="shared" si="33"/>
        <v>24.4</v>
      </c>
      <c r="I296" s="6" t="s">
        <v>240</v>
      </c>
      <c r="J296" s="6" t="s">
        <v>259</v>
      </c>
      <c r="K296" s="6" t="s">
        <v>559</v>
      </c>
      <c r="L296" s="4">
        <v>21</v>
      </c>
      <c r="R296" s="4">
        <v>1</v>
      </c>
      <c r="S296" s="4">
        <v>1</v>
      </c>
      <c r="T296" s="4">
        <v>1</v>
      </c>
      <c r="U296" s="4">
        <v>1</v>
      </c>
      <c r="W296" s="4">
        <v>1</v>
      </c>
      <c r="X296" s="4"/>
      <c r="Y296" s="4">
        <v>1</v>
      </c>
      <c r="Z296" s="4">
        <v>1</v>
      </c>
      <c r="AA296" s="26">
        <v>1</v>
      </c>
      <c r="AB296" s="4"/>
      <c r="AC296" s="4"/>
      <c r="AP296" s="5"/>
      <c r="AR296" s="4">
        <f t="shared" si="30"/>
        <v>8</v>
      </c>
      <c r="AS296" s="4">
        <f t="shared" si="31"/>
        <v>13</v>
      </c>
      <c r="AT296" s="32">
        <f t="shared" si="32"/>
        <v>317.2</v>
      </c>
    </row>
    <row r="297" s="4" customFormat="1" customHeight="1" spans="1:46">
      <c r="A297" s="4">
        <v>296</v>
      </c>
      <c r="B297" s="4" t="s">
        <v>560</v>
      </c>
      <c r="C297" s="5">
        <v>17882699480</v>
      </c>
      <c r="D297" s="65">
        <v>46179</v>
      </c>
      <c r="E297" s="65">
        <v>46240</v>
      </c>
      <c r="F297" s="4">
        <v>976</v>
      </c>
      <c r="G297" s="4">
        <v>40</v>
      </c>
      <c r="H297" s="66">
        <f t="shared" si="33"/>
        <v>24.4</v>
      </c>
      <c r="I297" s="6" t="s">
        <v>294</v>
      </c>
      <c r="J297" s="6" t="s">
        <v>504</v>
      </c>
      <c r="K297" s="6" t="s">
        <v>561</v>
      </c>
      <c r="L297" s="4">
        <v>60</v>
      </c>
      <c r="M297" s="4"/>
      <c r="N297" s="4"/>
      <c r="O297" s="4"/>
      <c r="P297" s="4"/>
      <c r="Q297" s="4"/>
      <c r="R297" s="4">
        <v>2</v>
      </c>
      <c r="S297" s="4">
        <v>2</v>
      </c>
      <c r="T297" s="4">
        <v>2</v>
      </c>
      <c r="U297" s="4">
        <v>2</v>
      </c>
      <c r="W297" s="4">
        <v>2</v>
      </c>
      <c r="X297" s="4">
        <v>2</v>
      </c>
      <c r="Y297" s="4">
        <v>2</v>
      </c>
      <c r="Z297" s="4">
        <v>2</v>
      </c>
      <c r="AA297" s="26">
        <v>2</v>
      </c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11">
        <f t="shared" si="30"/>
        <v>18</v>
      </c>
      <c r="AS297" s="11">
        <f t="shared" si="31"/>
        <v>42</v>
      </c>
      <c r="AT297" s="81">
        <f t="shared" si="32"/>
        <v>1024.8</v>
      </c>
    </row>
    <row r="298" s="4" customFormat="1" customHeight="1" spans="1:46">
      <c r="A298" s="4">
        <v>297</v>
      </c>
      <c r="B298" s="4" t="s">
        <v>562</v>
      </c>
      <c r="C298" s="5">
        <v>13797191061</v>
      </c>
      <c r="D298" s="65">
        <v>46122</v>
      </c>
      <c r="E298" s="65">
        <v>46344</v>
      </c>
      <c r="F298" s="11">
        <v>1999</v>
      </c>
      <c r="G298" s="11">
        <v>90</v>
      </c>
      <c r="H298" s="68">
        <f t="shared" si="33"/>
        <v>22.2111111111111</v>
      </c>
      <c r="I298" s="11" t="s">
        <v>113</v>
      </c>
      <c r="J298" s="6" t="s">
        <v>336</v>
      </c>
      <c r="K298" s="4" t="s">
        <v>563</v>
      </c>
      <c r="L298" s="4">
        <v>99</v>
      </c>
      <c r="R298" s="4">
        <v>1</v>
      </c>
      <c r="S298" s="4">
        <v>1</v>
      </c>
      <c r="T298" s="4">
        <v>1</v>
      </c>
      <c r="U298" s="4">
        <v>1</v>
      </c>
      <c r="W298" s="4">
        <v>1</v>
      </c>
      <c r="X298" s="4">
        <v>1</v>
      </c>
      <c r="Y298" s="4"/>
      <c r="Z298" s="4"/>
      <c r="AA298" s="26"/>
      <c r="AB298" s="4"/>
      <c r="AC298" s="4"/>
      <c r="AP298" s="5"/>
      <c r="AR298" s="4">
        <f t="shared" si="30"/>
        <v>6</v>
      </c>
      <c r="AS298" s="4">
        <f t="shared" si="31"/>
        <v>93</v>
      </c>
      <c r="AT298" s="32">
        <f t="shared" si="32"/>
        <v>2065.63333333333</v>
      </c>
    </row>
    <row r="299" customHeight="1" spans="1:46">
      <c r="A299" s="4">
        <v>298</v>
      </c>
      <c r="B299" s="4" t="s">
        <v>564</v>
      </c>
      <c r="C299" s="5">
        <v>17671001501</v>
      </c>
      <c r="D299" s="65"/>
      <c r="E299" s="65"/>
      <c r="F299" s="4">
        <v>480</v>
      </c>
      <c r="G299" s="4">
        <v>20</v>
      </c>
      <c r="H299" s="66">
        <f t="shared" si="33"/>
        <v>24</v>
      </c>
      <c r="I299" s="6" t="s">
        <v>565</v>
      </c>
      <c r="J299" s="6" t="s">
        <v>566</v>
      </c>
      <c r="L299" s="4">
        <v>20</v>
      </c>
      <c r="S299" s="4">
        <v>1</v>
      </c>
      <c r="T299" s="4">
        <v>1</v>
      </c>
      <c r="W299" s="4">
        <v>1</v>
      </c>
      <c r="Z299" s="4">
        <v>1</v>
      </c>
      <c r="AA299" s="26">
        <v>1</v>
      </c>
      <c r="AR299" s="11">
        <f t="shared" si="30"/>
        <v>5</v>
      </c>
      <c r="AS299" s="11">
        <f t="shared" si="31"/>
        <v>15</v>
      </c>
      <c r="AT299" s="81">
        <f t="shared" si="32"/>
        <v>360</v>
      </c>
    </row>
    <row r="300" customHeight="1" spans="1:46">
      <c r="A300" s="4">
        <v>299</v>
      </c>
      <c r="B300" s="4" t="s">
        <v>567</v>
      </c>
      <c r="C300" s="5">
        <v>15071196973</v>
      </c>
      <c r="F300" s="4">
        <v>480</v>
      </c>
      <c r="G300" s="4">
        <v>20</v>
      </c>
      <c r="H300" s="66">
        <f t="shared" si="33"/>
        <v>24</v>
      </c>
      <c r="I300" s="6" t="s">
        <v>565</v>
      </c>
      <c r="J300" s="6" t="s">
        <v>566</v>
      </c>
      <c r="L300" s="4">
        <v>20</v>
      </c>
      <c r="S300" s="4">
        <v>1</v>
      </c>
      <c r="T300" s="4">
        <v>1</v>
      </c>
      <c r="Z300" s="4">
        <v>1</v>
      </c>
      <c r="AR300" s="11">
        <f t="shared" si="30"/>
        <v>3</v>
      </c>
      <c r="AS300" s="11">
        <f t="shared" si="31"/>
        <v>17</v>
      </c>
      <c r="AT300" s="81">
        <f t="shared" si="32"/>
        <v>408</v>
      </c>
    </row>
    <row r="301" customHeight="1" spans="1:46">
      <c r="A301" s="4">
        <v>300</v>
      </c>
      <c r="B301" s="4" t="s">
        <v>568</v>
      </c>
      <c r="C301" s="5">
        <v>13409835871</v>
      </c>
      <c r="F301" s="4">
        <v>480</v>
      </c>
      <c r="G301" s="4">
        <v>22</v>
      </c>
      <c r="H301" s="66">
        <f t="shared" si="33"/>
        <v>21.8181818181818</v>
      </c>
      <c r="I301" s="4" t="s">
        <v>569</v>
      </c>
      <c r="J301" s="6" t="s">
        <v>570</v>
      </c>
      <c r="L301" s="4">
        <v>22</v>
      </c>
      <c r="U301" s="4">
        <v>1</v>
      </c>
      <c r="Y301" s="4">
        <v>1</v>
      </c>
      <c r="Z301" s="4">
        <v>1</v>
      </c>
      <c r="AA301" s="26">
        <v>1</v>
      </c>
      <c r="AR301" s="11">
        <f t="shared" si="30"/>
        <v>4</v>
      </c>
      <c r="AS301" s="11">
        <f t="shared" si="31"/>
        <v>18</v>
      </c>
      <c r="AT301" s="81">
        <f t="shared" si="32"/>
        <v>392.727272727272</v>
      </c>
    </row>
    <row r="302" customHeight="1" spans="1:46">
      <c r="A302" s="4">
        <v>301</v>
      </c>
      <c r="B302" s="4" t="s">
        <v>571</v>
      </c>
      <c r="C302" s="5">
        <v>13720158501</v>
      </c>
      <c r="D302" s="65">
        <v>46149</v>
      </c>
      <c r="E302" s="65">
        <v>46180</v>
      </c>
      <c r="F302" s="4">
        <v>488</v>
      </c>
      <c r="G302" s="4">
        <v>20</v>
      </c>
      <c r="H302" s="66">
        <f t="shared" si="33"/>
        <v>24.4</v>
      </c>
      <c r="I302" s="6" t="s">
        <v>240</v>
      </c>
      <c r="J302" s="6" t="s">
        <v>572</v>
      </c>
      <c r="L302" s="4">
        <v>20</v>
      </c>
      <c r="S302" s="4">
        <v>2</v>
      </c>
      <c r="U302" s="4">
        <v>1</v>
      </c>
      <c r="X302" s="4">
        <v>2</v>
      </c>
      <c r="Y302" s="4">
        <v>1</v>
      </c>
      <c r="AR302" s="11">
        <f t="shared" si="30"/>
        <v>6</v>
      </c>
      <c r="AS302" s="11">
        <f t="shared" si="31"/>
        <v>14</v>
      </c>
      <c r="AT302" s="81">
        <f t="shared" si="32"/>
        <v>341.6</v>
      </c>
    </row>
    <row r="303" customHeight="1" spans="1:46">
      <c r="A303" s="4">
        <v>302</v>
      </c>
      <c r="B303" s="4" t="s">
        <v>573</v>
      </c>
      <c r="C303" s="5">
        <v>15871443272</v>
      </c>
      <c r="D303" s="65">
        <v>46149</v>
      </c>
      <c r="E303" s="65">
        <v>46180</v>
      </c>
      <c r="F303" s="4">
        <v>488</v>
      </c>
      <c r="G303" s="4">
        <v>20</v>
      </c>
      <c r="H303" s="66">
        <f t="shared" si="33"/>
        <v>24.4</v>
      </c>
      <c r="I303" s="6" t="s">
        <v>240</v>
      </c>
      <c r="J303" s="6" t="s">
        <v>572</v>
      </c>
      <c r="L303" s="4">
        <v>20</v>
      </c>
      <c r="S303" s="4">
        <v>2</v>
      </c>
      <c r="T303" s="4">
        <v>1</v>
      </c>
      <c r="U303" s="4">
        <v>2</v>
      </c>
      <c r="W303" s="4">
        <v>1</v>
      </c>
      <c r="X303" s="4">
        <v>2</v>
      </c>
      <c r="Y303" s="4">
        <v>2</v>
      </c>
      <c r="AA303" s="26">
        <v>1</v>
      </c>
      <c r="AR303" s="11">
        <f t="shared" si="30"/>
        <v>11</v>
      </c>
      <c r="AS303" s="11">
        <f t="shared" si="31"/>
        <v>9</v>
      </c>
      <c r="AT303" s="81">
        <f t="shared" si="32"/>
        <v>219.6</v>
      </c>
    </row>
    <row r="304" customHeight="1" spans="1:46">
      <c r="A304" s="4">
        <v>303</v>
      </c>
      <c r="B304" s="4" t="s">
        <v>574</v>
      </c>
      <c r="C304" s="5">
        <v>18086218511</v>
      </c>
      <c r="D304" s="65">
        <v>46149</v>
      </c>
      <c r="E304" s="65">
        <v>46241</v>
      </c>
      <c r="F304" s="4">
        <v>788</v>
      </c>
      <c r="G304" s="4">
        <v>30</v>
      </c>
      <c r="H304" s="66">
        <f t="shared" si="33"/>
        <v>26.2666666666667</v>
      </c>
      <c r="I304" s="4" t="s">
        <v>134</v>
      </c>
      <c r="J304" s="6" t="s">
        <v>575</v>
      </c>
      <c r="L304" s="4">
        <v>30</v>
      </c>
      <c r="S304" s="4">
        <v>2</v>
      </c>
      <c r="T304" s="4">
        <v>2</v>
      </c>
      <c r="U304" s="4">
        <v>2</v>
      </c>
      <c r="X304" s="4">
        <v>2</v>
      </c>
      <c r="Y304" s="4">
        <v>1</v>
      </c>
      <c r="Z304" s="4">
        <v>1</v>
      </c>
      <c r="AA304" s="26">
        <v>1</v>
      </c>
      <c r="AR304" s="11">
        <f t="shared" si="30"/>
        <v>11</v>
      </c>
      <c r="AS304" s="11">
        <f t="shared" si="31"/>
        <v>19</v>
      </c>
      <c r="AT304" s="81">
        <f t="shared" si="32"/>
        <v>499.066666666667</v>
      </c>
    </row>
    <row r="305" customHeight="1" spans="1:46">
      <c r="A305" s="4">
        <v>304</v>
      </c>
      <c r="B305" s="4" t="s">
        <v>576</v>
      </c>
      <c r="C305" s="5">
        <v>18986581684</v>
      </c>
      <c r="D305" s="65">
        <v>46149</v>
      </c>
      <c r="E305" s="65">
        <v>46180</v>
      </c>
      <c r="F305" s="4">
        <v>488</v>
      </c>
      <c r="G305" s="4">
        <v>20</v>
      </c>
      <c r="H305" s="66">
        <f t="shared" si="33"/>
        <v>24.4</v>
      </c>
      <c r="I305" s="6" t="s">
        <v>240</v>
      </c>
      <c r="J305" s="6" t="s">
        <v>572</v>
      </c>
      <c r="L305" s="4">
        <v>20</v>
      </c>
      <c r="R305" s="4">
        <v>1</v>
      </c>
      <c r="S305" s="4">
        <v>1</v>
      </c>
      <c r="T305" s="4">
        <v>1</v>
      </c>
      <c r="U305" s="4">
        <v>1</v>
      </c>
      <c r="W305" s="4">
        <v>1</v>
      </c>
      <c r="X305" s="4">
        <v>1</v>
      </c>
      <c r="Y305" s="4">
        <v>1</v>
      </c>
      <c r="AA305" s="26">
        <v>1</v>
      </c>
      <c r="AR305" s="11">
        <f t="shared" si="30"/>
        <v>8</v>
      </c>
      <c r="AS305" s="11">
        <f t="shared" si="31"/>
        <v>12</v>
      </c>
      <c r="AT305" s="81">
        <f t="shared" si="32"/>
        <v>292.8</v>
      </c>
    </row>
    <row r="306" customHeight="1" spans="1:46">
      <c r="A306" s="4">
        <v>305</v>
      </c>
      <c r="B306" s="4" t="s">
        <v>577</v>
      </c>
      <c r="C306" s="5">
        <v>15922520220</v>
      </c>
      <c r="D306" s="65">
        <v>46150</v>
      </c>
      <c r="E306" s="65">
        <v>46181</v>
      </c>
      <c r="F306" s="4">
        <v>488</v>
      </c>
      <c r="G306" s="4">
        <v>20</v>
      </c>
      <c r="H306" s="66">
        <f t="shared" si="33"/>
        <v>24.4</v>
      </c>
      <c r="I306" s="6" t="s">
        <v>240</v>
      </c>
      <c r="J306" s="6" t="s">
        <v>578</v>
      </c>
      <c r="L306" s="4">
        <v>20</v>
      </c>
      <c r="W306" s="4">
        <v>1</v>
      </c>
      <c r="X306" s="4">
        <v>1</v>
      </c>
      <c r="Y306" s="4">
        <v>1</v>
      </c>
      <c r="Z306" s="4">
        <v>1</v>
      </c>
      <c r="AA306" s="26">
        <v>1</v>
      </c>
      <c r="AR306" s="11">
        <f t="shared" si="30"/>
        <v>5</v>
      </c>
      <c r="AS306" s="11">
        <f t="shared" si="31"/>
        <v>15</v>
      </c>
      <c r="AT306" s="81">
        <f t="shared" si="32"/>
        <v>366</v>
      </c>
    </row>
    <row r="307" customHeight="1" spans="1:46">
      <c r="A307" s="4">
        <v>306</v>
      </c>
      <c r="B307" s="4" t="s">
        <v>579</v>
      </c>
      <c r="C307" s="5">
        <v>17683755142</v>
      </c>
      <c r="D307" s="65">
        <v>46150</v>
      </c>
      <c r="E307" s="65">
        <v>46181</v>
      </c>
      <c r="F307" s="4">
        <v>488</v>
      </c>
      <c r="G307" s="4">
        <v>20</v>
      </c>
      <c r="H307" s="66">
        <f t="shared" si="33"/>
        <v>24.4</v>
      </c>
      <c r="I307" s="6" t="s">
        <v>240</v>
      </c>
      <c r="J307" s="6" t="s">
        <v>578</v>
      </c>
      <c r="L307" s="4">
        <v>20</v>
      </c>
      <c r="U307" s="4">
        <v>1</v>
      </c>
      <c r="Y307" s="4">
        <v>1</v>
      </c>
      <c r="Z307" s="4">
        <v>1</v>
      </c>
      <c r="AA307" s="26">
        <v>1</v>
      </c>
      <c r="AR307" s="11">
        <f t="shared" si="30"/>
        <v>4</v>
      </c>
      <c r="AS307" s="11">
        <f t="shared" si="31"/>
        <v>16</v>
      </c>
      <c r="AT307" s="81">
        <f t="shared" si="32"/>
        <v>390.4</v>
      </c>
    </row>
    <row r="308" customHeight="1" spans="1:46">
      <c r="A308" s="4">
        <v>307</v>
      </c>
      <c r="B308" s="4" t="s">
        <v>580</v>
      </c>
      <c r="C308" s="5">
        <v>19146945539</v>
      </c>
      <c r="D308" s="65">
        <v>46151</v>
      </c>
      <c r="E308" s="65">
        <v>46242</v>
      </c>
      <c r="F308" s="4">
        <v>788</v>
      </c>
      <c r="G308" s="4">
        <v>30</v>
      </c>
      <c r="H308" s="66">
        <f t="shared" si="33"/>
        <v>26.2666666666667</v>
      </c>
      <c r="I308" s="4" t="s">
        <v>134</v>
      </c>
      <c r="J308" s="6" t="s">
        <v>581</v>
      </c>
      <c r="L308" s="4">
        <v>30</v>
      </c>
      <c r="T308" s="4">
        <v>1</v>
      </c>
      <c r="U308" s="4">
        <v>1</v>
      </c>
      <c r="X308" s="4">
        <v>1</v>
      </c>
      <c r="Z308" s="4">
        <v>1</v>
      </c>
      <c r="AR308" s="11">
        <f t="shared" si="30"/>
        <v>4</v>
      </c>
      <c r="AS308" s="11">
        <f t="shared" si="31"/>
        <v>26</v>
      </c>
      <c r="AT308" s="81">
        <f t="shared" si="32"/>
        <v>682.933333333334</v>
      </c>
    </row>
    <row r="309" customHeight="1" spans="1:46">
      <c r="A309" s="4">
        <v>308</v>
      </c>
      <c r="B309" s="4" t="s">
        <v>582</v>
      </c>
      <c r="C309" s="5">
        <v>18176718486</v>
      </c>
      <c r="D309" s="65">
        <v>46150</v>
      </c>
      <c r="E309" s="65">
        <v>46181</v>
      </c>
      <c r="F309" s="4">
        <v>488</v>
      </c>
      <c r="G309" s="4">
        <v>20</v>
      </c>
      <c r="H309" s="66">
        <f t="shared" si="33"/>
        <v>24.4</v>
      </c>
      <c r="I309" s="6" t="s">
        <v>240</v>
      </c>
      <c r="J309" s="6" t="s">
        <v>578</v>
      </c>
      <c r="L309" s="4">
        <v>20</v>
      </c>
      <c r="T309" s="4">
        <v>1</v>
      </c>
      <c r="U309" s="4">
        <v>1</v>
      </c>
      <c r="W309" s="4">
        <v>1</v>
      </c>
      <c r="X309" s="4">
        <v>1</v>
      </c>
      <c r="Z309" s="4">
        <v>1</v>
      </c>
      <c r="AA309" s="26">
        <v>1</v>
      </c>
      <c r="AR309" s="11">
        <f t="shared" si="30"/>
        <v>6</v>
      </c>
      <c r="AS309" s="11">
        <f t="shared" si="31"/>
        <v>14</v>
      </c>
      <c r="AT309" s="81">
        <f t="shared" si="32"/>
        <v>341.6</v>
      </c>
    </row>
    <row r="310" customHeight="1" spans="1:46">
      <c r="A310" s="4">
        <v>309</v>
      </c>
      <c r="B310" s="4" t="s">
        <v>583</v>
      </c>
      <c r="C310" s="5">
        <v>18802488227</v>
      </c>
      <c r="D310" s="65">
        <v>46150</v>
      </c>
      <c r="E310" s="65">
        <v>46181</v>
      </c>
      <c r="F310" s="4">
        <v>488</v>
      </c>
      <c r="G310" s="4">
        <v>20</v>
      </c>
      <c r="H310" s="66">
        <f t="shared" si="33"/>
        <v>24.4</v>
      </c>
      <c r="I310" s="6" t="s">
        <v>240</v>
      </c>
      <c r="J310" s="6" t="s">
        <v>578</v>
      </c>
      <c r="L310" s="4">
        <v>20</v>
      </c>
      <c r="T310" s="4">
        <v>1</v>
      </c>
      <c r="Y310" s="4">
        <v>1</v>
      </c>
      <c r="Z310" s="4">
        <v>2</v>
      </c>
      <c r="AR310" s="11">
        <f t="shared" si="30"/>
        <v>4</v>
      </c>
      <c r="AS310" s="11">
        <f t="shared" si="31"/>
        <v>16</v>
      </c>
      <c r="AT310" s="81">
        <f t="shared" si="32"/>
        <v>390.4</v>
      </c>
    </row>
    <row r="311" customHeight="1" spans="1:46">
      <c r="A311" s="4">
        <v>310</v>
      </c>
      <c r="B311" s="4" t="s">
        <v>584</v>
      </c>
      <c r="C311" s="5">
        <v>18064028397</v>
      </c>
      <c r="D311" s="65">
        <v>46151</v>
      </c>
      <c r="E311" s="65">
        <v>46182</v>
      </c>
      <c r="F311" s="4">
        <v>488</v>
      </c>
      <c r="G311" s="4">
        <v>20</v>
      </c>
      <c r="H311" s="66">
        <f t="shared" si="33"/>
        <v>24.4</v>
      </c>
      <c r="I311" s="6" t="s">
        <v>240</v>
      </c>
      <c r="J311" s="6" t="s">
        <v>578</v>
      </c>
      <c r="L311" s="4">
        <v>20</v>
      </c>
      <c r="T311" s="4">
        <v>1</v>
      </c>
      <c r="U311" s="4">
        <v>1</v>
      </c>
      <c r="W311" s="4">
        <v>2</v>
      </c>
      <c r="AA311" s="26">
        <v>2</v>
      </c>
      <c r="AR311" s="11">
        <f t="shared" si="30"/>
        <v>6</v>
      </c>
      <c r="AS311" s="11">
        <f t="shared" si="31"/>
        <v>14</v>
      </c>
      <c r="AT311" s="81">
        <f t="shared" si="32"/>
        <v>341.6</v>
      </c>
    </row>
    <row r="312" customHeight="1" spans="1:46">
      <c r="A312" s="4">
        <v>311</v>
      </c>
      <c r="B312" s="4" t="s">
        <v>585</v>
      </c>
      <c r="C312" s="5">
        <v>17871633638</v>
      </c>
      <c r="D312" s="65">
        <v>46151</v>
      </c>
      <c r="E312" s="65">
        <v>46182</v>
      </c>
      <c r="F312" s="4">
        <v>488</v>
      </c>
      <c r="G312" s="4">
        <v>20</v>
      </c>
      <c r="H312" s="66">
        <f t="shared" si="33"/>
        <v>24.4</v>
      </c>
      <c r="I312" s="6" t="s">
        <v>240</v>
      </c>
      <c r="J312" s="6" t="s">
        <v>578</v>
      </c>
      <c r="L312" s="4">
        <v>20</v>
      </c>
      <c r="U312" s="4">
        <v>2</v>
      </c>
      <c r="X312" s="4">
        <v>1</v>
      </c>
      <c r="Y312" s="4">
        <v>1</v>
      </c>
      <c r="Z312" s="4">
        <v>1</v>
      </c>
      <c r="AR312" s="11">
        <f t="shared" ref="AR312:AR375" si="34">SUM(M312:AQ312)</f>
        <v>5</v>
      </c>
      <c r="AS312" s="11">
        <f t="shared" si="31"/>
        <v>15</v>
      </c>
      <c r="AT312" s="81">
        <f t="shared" si="32"/>
        <v>366</v>
      </c>
    </row>
    <row r="313" customHeight="1" spans="1:46">
      <c r="A313" s="4">
        <v>312</v>
      </c>
      <c r="B313" s="4" t="s">
        <v>586</v>
      </c>
      <c r="C313" s="5">
        <v>15294912000</v>
      </c>
      <c r="D313" s="65">
        <v>46151</v>
      </c>
      <c r="E313" s="65">
        <v>46182</v>
      </c>
      <c r="F313" s="4">
        <v>488</v>
      </c>
      <c r="G313" s="4">
        <v>20</v>
      </c>
      <c r="H313" s="66">
        <f t="shared" si="33"/>
        <v>24.4</v>
      </c>
      <c r="I313" s="6" t="s">
        <v>240</v>
      </c>
      <c r="J313" s="6" t="s">
        <v>578</v>
      </c>
      <c r="L313" s="4">
        <v>20</v>
      </c>
      <c r="T313" s="4">
        <v>1</v>
      </c>
      <c r="U313" s="4">
        <v>1</v>
      </c>
      <c r="X313" s="4">
        <v>1</v>
      </c>
      <c r="Y313" s="4">
        <v>1</v>
      </c>
      <c r="AA313" s="26">
        <v>1</v>
      </c>
      <c r="AR313" s="11">
        <f t="shared" si="34"/>
        <v>5</v>
      </c>
      <c r="AS313" s="11">
        <f t="shared" si="31"/>
        <v>15</v>
      </c>
      <c r="AT313" s="81">
        <f t="shared" si="32"/>
        <v>366</v>
      </c>
    </row>
    <row r="314" customHeight="1" spans="1:46">
      <c r="A314" s="4">
        <v>313</v>
      </c>
      <c r="B314" s="4" t="s">
        <v>587</v>
      </c>
      <c r="C314" s="5">
        <v>15671380829</v>
      </c>
      <c r="D314" s="65">
        <v>46151</v>
      </c>
      <c r="E314" s="65">
        <v>46182</v>
      </c>
      <c r="F314" s="4">
        <v>488</v>
      </c>
      <c r="G314" s="4">
        <v>20</v>
      </c>
      <c r="H314" s="66">
        <f t="shared" si="33"/>
        <v>24.4</v>
      </c>
      <c r="I314" s="6" t="s">
        <v>240</v>
      </c>
      <c r="J314" s="6" t="s">
        <v>578</v>
      </c>
      <c r="L314" s="4">
        <v>20</v>
      </c>
      <c r="U314" s="4">
        <v>1</v>
      </c>
      <c r="W314" s="4">
        <v>1</v>
      </c>
      <c r="Y314" s="4">
        <v>1</v>
      </c>
      <c r="Z314" s="4">
        <v>1</v>
      </c>
      <c r="AA314" s="26">
        <v>2</v>
      </c>
      <c r="AR314" s="11">
        <f t="shared" si="34"/>
        <v>6</v>
      </c>
      <c r="AS314" s="11">
        <f t="shared" si="31"/>
        <v>14</v>
      </c>
      <c r="AT314" s="81">
        <f t="shared" si="32"/>
        <v>341.6</v>
      </c>
    </row>
    <row r="315" customHeight="1" spans="1:46">
      <c r="A315" s="4">
        <v>314</v>
      </c>
      <c r="B315" s="4" t="s">
        <v>588</v>
      </c>
      <c r="C315" s="5">
        <v>13554440462</v>
      </c>
      <c r="D315" s="65">
        <v>46151</v>
      </c>
      <c r="E315" s="65">
        <v>46182</v>
      </c>
      <c r="F315" s="4">
        <v>299</v>
      </c>
      <c r="G315" s="4">
        <v>11</v>
      </c>
      <c r="H315" s="66">
        <f t="shared" si="33"/>
        <v>27.1818181818182</v>
      </c>
      <c r="I315" s="4" t="s">
        <v>225</v>
      </c>
      <c r="J315" s="6" t="s">
        <v>589</v>
      </c>
      <c r="L315" s="4">
        <v>13</v>
      </c>
      <c r="T315" s="4">
        <v>1</v>
      </c>
      <c r="U315" s="4">
        <v>2</v>
      </c>
      <c r="W315" s="4">
        <v>1</v>
      </c>
      <c r="X315" s="4">
        <v>2</v>
      </c>
      <c r="Z315" s="4">
        <v>2</v>
      </c>
      <c r="AR315" s="11">
        <f t="shared" si="34"/>
        <v>8</v>
      </c>
      <c r="AS315" s="11">
        <f t="shared" si="31"/>
        <v>5</v>
      </c>
      <c r="AT315" s="81">
        <f t="shared" si="32"/>
        <v>135.909090909091</v>
      </c>
    </row>
    <row r="316" customHeight="1" spans="1:46">
      <c r="A316" s="4">
        <v>315</v>
      </c>
      <c r="B316" s="4" t="s">
        <v>590</v>
      </c>
      <c r="C316" s="5">
        <v>15572505732</v>
      </c>
      <c r="D316" s="65">
        <v>46151</v>
      </c>
      <c r="E316" s="65">
        <v>46182</v>
      </c>
      <c r="F316" s="4">
        <v>488</v>
      </c>
      <c r="G316" s="4">
        <v>20</v>
      </c>
      <c r="H316" s="66">
        <f t="shared" si="33"/>
        <v>24.4</v>
      </c>
      <c r="I316" s="6" t="s">
        <v>240</v>
      </c>
      <c r="J316" s="6" t="s">
        <v>578</v>
      </c>
      <c r="L316" s="4">
        <v>20</v>
      </c>
      <c r="U316" s="4">
        <v>1</v>
      </c>
      <c r="W316" s="4">
        <v>1</v>
      </c>
      <c r="X316" s="4">
        <v>1</v>
      </c>
      <c r="Y316" s="4">
        <v>1</v>
      </c>
      <c r="AA316" s="26">
        <v>1</v>
      </c>
      <c r="AR316" s="11">
        <f t="shared" si="34"/>
        <v>5</v>
      </c>
      <c r="AS316" s="11">
        <f t="shared" si="31"/>
        <v>15</v>
      </c>
      <c r="AT316" s="81">
        <f t="shared" si="32"/>
        <v>366</v>
      </c>
    </row>
    <row r="317" customHeight="1" spans="1:46">
      <c r="A317" s="4">
        <v>316</v>
      </c>
      <c r="B317" s="4" t="s">
        <v>591</v>
      </c>
      <c r="C317" s="5">
        <v>18271436120</v>
      </c>
      <c r="D317" s="65">
        <v>46151</v>
      </c>
      <c r="E317" s="65">
        <v>46182</v>
      </c>
      <c r="F317" s="4">
        <v>299</v>
      </c>
      <c r="G317" s="4">
        <v>9</v>
      </c>
      <c r="H317" s="66">
        <f t="shared" si="33"/>
        <v>33.2222222222222</v>
      </c>
      <c r="I317" s="4" t="s">
        <v>139</v>
      </c>
      <c r="J317" s="6" t="s">
        <v>592</v>
      </c>
      <c r="L317" s="4">
        <v>9</v>
      </c>
      <c r="U317" s="4">
        <v>1</v>
      </c>
      <c r="W317" s="4">
        <v>1</v>
      </c>
      <c r="X317" s="4">
        <v>1</v>
      </c>
      <c r="Y317" s="4">
        <v>1</v>
      </c>
      <c r="Z317" s="4">
        <v>1</v>
      </c>
      <c r="AA317" s="26">
        <v>1</v>
      </c>
      <c r="AR317" s="11">
        <f t="shared" si="34"/>
        <v>6</v>
      </c>
      <c r="AS317" s="11">
        <f t="shared" ref="AS317:AS380" si="35">L317-AR317</f>
        <v>3</v>
      </c>
      <c r="AT317" s="81">
        <f t="shared" ref="AT317:AT380" si="36">AS317*H317</f>
        <v>99.6666666666666</v>
      </c>
    </row>
    <row r="318" s="4" customFormat="1" customHeight="1" spans="1:46">
      <c r="A318" s="4">
        <v>317</v>
      </c>
      <c r="B318" s="13" t="s">
        <v>593</v>
      </c>
      <c r="C318" s="5">
        <v>13098823880</v>
      </c>
      <c r="D318" s="65">
        <v>46150</v>
      </c>
      <c r="E318" s="65">
        <v>46242</v>
      </c>
      <c r="F318" s="4">
        <v>488</v>
      </c>
      <c r="G318" s="4">
        <v>21</v>
      </c>
      <c r="H318" s="66">
        <f t="shared" si="33"/>
        <v>23.2380952380952</v>
      </c>
      <c r="I318" s="4" t="s">
        <v>594</v>
      </c>
      <c r="J318" s="4" t="s">
        <v>595</v>
      </c>
      <c r="K318" s="56" t="s">
        <v>596</v>
      </c>
      <c r="L318" s="33">
        <v>23</v>
      </c>
      <c r="R318" s="4">
        <v>1</v>
      </c>
      <c r="S318" s="4">
        <v>1</v>
      </c>
      <c r="T318" s="4">
        <v>1</v>
      </c>
      <c r="U318" s="4">
        <v>1</v>
      </c>
      <c r="W318" s="4">
        <v>1</v>
      </c>
      <c r="X318" s="4">
        <v>1</v>
      </c>
      <c r="Y318" s="4">
        <v>1</v>
      </c>
      <c r="Z318" s="4">
        <v>1</v>
      </c>
      <c r="AA318" s="26"/>
      <c r="AB318" s="4"/>
      <c r="AC318" s="4"/>
      <c r="AP318" s="5"/>
      <c r="AQ318" s="5"/>
      <c r="AR318" s="4">
        <f t="shared" si="34"/>
        <v>8</v>
      </c>
      <c r="AS318" s="4">
        <f t="shared" si="35"/>
        <v>15</v>
      </c>
      <c r="AT318" s="32">
        <f t="shared" si="36"/>
        <v>348.571428571428</v>
      </c>
    </row>
    <row r="319" s="25" customFormat="1" customHeight="1" spans="1:46">
      <c r="A319" s="4">
        <v>318</v>
      </c>
      <c r="B319" s="25" t="s">
        <v>597</v>
      </c>
      <c r="C319" s="95">
        <v>15377052278</v>
      </c>
      <c r="D319" s="96">
        <v>46150</v>
      </c>
      <c r="E319" s="96">
        <v>46181</v>
      </c>
      <c r="F319" s="25">
        <v>488</v>
      </c>
      <c r="G319" s="25">
        <v>20</v>
      </c>
      <c r="H319" s="97">
        <f t="shared" si="33"/>
        <v>24.4</v>
      </c>
      <c r="I319" s="98" t="s">
        <v>240</v>
      </c>
      <c r="J319" s="98" t="s">
        <v>288</v>
      </c>
      <c r="K319" s="98" t="s">
        <v>598</v>
      </c>
      <c r="L319" s="25">
        <v>21</v>
      </c>
      <c r="M319" s="25"/>
      <c r="N319" s="25"/>
      <c r="O319" s="25"/>
      <c r="P319" s="25"/>
      <c r="Q319" s="25"/>
      <c r="R319" s="25"/>
      <c r="S319" s="25">
        <v>1</v>
      </c>
      <c r="T319" s="25"/>
      <c r="U319" s="4">
        <v>1</v>
      </c>
      <c r="V319" s="4"/>
      <c r="W319" s="4"/>
      <c r="X319" s="25">
        <v>1</v>
      </c>
      <c r="Y319" s="4">
        <v>2</v>
      </c>
      <c r="Z319" s="4">
        <v>1</v>
      </c>
      <c r="AA319" s="26">
        <v>1</v>
      </c>
      <c r="AB319" s="4"/>
      <c r="AC319" s="4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95"/>
      <c r="AQ319" s="95"/>
      <c r="AR319" s="25">
        <f t="shared" si="34"/>
        <v>7</v>
      </c>
      <c r="AS319" s="25">
        <f t="shared" si="35"/>
        <v>14</v>
      </c>
      <c r="AT319" s="99">
        <f t="shared" si="36"/>
        <v>341.6</v>
      </c>
    </row>
    <row r="320" s="4" customFormat="1" customHeight="1" spans="1:46">
      <c r="A320" s="4">
        <v>319</v>
      </c>
      <c r="B320" s="4" t="s">
        <v>599</v>
      </c>
      <c r="C320" s="5">
        <v>18627076265</v>
      </c>
      <c r="D320" s="65">
        <v>46179</v>
      </c>
      <c r="E320" s="65">
        <v>46209</v>
      </c>
      <c r="F320" s="4">
        <v>488</v>
      </c>
      <c r="G320" s="4">
        <v>20</v>
      </c>
      <c r="H320" s="66">
        <f t="shared" si="33"/>
        <v>24.4</v>
      </c>
      <c r="I320" s="6" t="s">
        <v>240</v>
      </c>
      <c r="J320" s="6" t="s">
        <v>504</v>
      </c>
      <c r="K320" s="6" t="s">
        <v>600</v>
      </c>
      <c r="L320" s="4">
        <v>42</v>
      </c>
      <c r="M320" s="4"/>
      <c r="N320" s="4"/>
      <c r="O320" s="4"/>
      <c r="P320" s="4"/>
      <c r="Q320" s="4"/>
      <c r="R320" s="4">
        <v>3</v>
      </c>
      <c r="S320" s="4">
        <v>3</v>
      </c>
      <c r="T320" s="4">
        <v>3</v>
      </c>
      <c r="U320" s="4">
        <v>3</v>
      </c>
      <c r="V320" s="4"/>
      <c r="W320" s="4">
        <v>3</v>
      </c>
      <c r="X320" s="4">
        <v>3</v>
      </c>
      <c r="Y320" s="4">
        <v>3</v>
      </c>
      <c r="Z320" s="4">
        <v>3</v>
      </c>
      <c r="AA320" s="26">
        <v>3</v>
      </c>
      <c r="AB320" s="4"/>
      <c r="AC320" s="4"/>
      <c r="AR320" s="11">
        <f t="shared" si="34"/>
        <v>27</v>
      </c>
      <c r="AS320" s="11">
        <f t="shared" si="35"/>
        <v>15</v>
      </c>
      <c r="AT320" s="81">
        <f t="shared" si="36"/>
        <v>366</v>
      </c>
    </row>
    <row r="321" customHeight="1" spans="1:46">
      <c r="A321" s="4">
        <v>320</v>
      </c>
      <c r="B321" s="4" t="s">
        <v>601</v>
      </c>
      <c r="C321" s="5">
        <v>17370049980</v>
      </c>
      <c r="D321" s="65">
        <v>46154</v>
      </c>
      <c r="E321" s="65">
        <v>46185</v>
      </c>
      <c r="F321" s="11">
        <v>488</v>
      </c>
      <c r="G321" s="11">
        <v>20</v>
      </c>
      <c r="H321" s="68">
        <f t="shared" si="33"/>
        <v>24.4</v>
      </c>
      <c r="I321" s="11" t="s">
        <v>240</v>
      </c>
      <c r="J321" s="6" t="s">
        <v>341</v>
      </c>
      <c r="K321" s="6" t="s">
        <v>602</v>
      </c>
      <c r="L321" s="4">
        <v>23</v>
      </c>
      <c r="S321" s="4">
        <v>1</v>
      </c>
      <c r="U321" s="4">
        <v>2</v>
      </c>
      <c r="Y321" s="4">
        <v>1</v>
      </c>
      <c r="Z321" s="4">
        <v>2</v>
      </c>
      <c r="AM321" s="6"/>
      <c r="AP321" s="6"/>
      <c r="AR321" s="4">
        <f t="shared" si="34"/>
        <v>6</v>
      </c>
      <c r="AS321" s="4">
        <f t="shared" si="35"/>
        <v>17</v>
      </c>
      <c r="AT321" s="32">
        <f t="shared" si="36"/>
        <v>414.8</v>
      </c>
    </row>
    <row r="322" customHeight="1" spans="1:46">
      <c r="A322" s="4">
        <v>321</v>
      </c>
      <c r="B322" s="4" t="s">
        <v>603</v>
      </c>
      <c r="C322" s="5">
        <v>15671671823</v>
      </c>
      <c r="D322" s="65">
        <v>46154</v>
      </c>
      <c r="E322" s="65">
        <v>46185</v>
      </c>
      <c r="F322" s="11">
        <v>299</v>
      </c>
      <c r="G322" s="11">
        <v>9</v>
      </c>
      <c r="H322" s="68">
        <f t="shared" si="33"/>
        <v>33.2222222222222</v>
      </c>
      <c r="I322" s="11">
        <v>299.9</v>
      </c>
      <c r="J322" s="6" t="s">
        <v>363</v>
      </c>
      <c r="L322" s="4">
        <v>9</v>
      </c>
      <c r="W322" s="4">
        <v>2</v>
      </c>
      <c r="X322" s="4">
        <v>1</v>
      </c>
      <c r="Y322" s="4">
        <v>1</v>
      </c>
      <c r="AA322" s="26">
        <v>1</v>
      </c>
      <c r="AR322" s="11">
        <f t="shared" si="34"/>
        <v>5</v>
      </c>
      <c r="AS322" s="11">
        <f t="shared" si="35"/>
        <v>4</v>
      </c>
      <c r="AT322" s="81">
        <f t="shared" si="36"/>
        <v>132.888888888889</v>
      </c>
    </row>
    <row r="323" customHeight="1" spans="1:46">
      <c r="A323" s="4">
        <v>322</v>
      </c>
      <c r="B323" s="4" t="s">
        <v>604</v>
      </c>
      <c r="C323" s="5">
        <v>13213008453</v>
      </c>
      <c r="D323" s="65">
        <v>46156</v>
      </c>
      <c r="E323" s="65">
        <v>46187</v>
      </c>
      <c r="F323" s="11">
        <v>488</v>
      </c>
      <c r="G323" s="11">
        <v>20</v>
      </c>
      <c r="H323" s="68">
        <f t="shared" si="33"/>
        <v>24.4</v>
      </c>
      <c r="I323" s="11" t="s">
        <v>240</v>
      </c>
      <c r="J323" s="6" t="s">
        <v>366</v>
      </c>
      <c r="K323" s="6" t="s">
        <v>605</v>
      </c>
      <c r="L323" s="4">
        <v>24</v>
      </c>
      <c r="T323" s="4">
        <v>1</v>
      </c>
      <c r="U323" s="4">
        <v>2</v>
      </c>
      <c r="W323" s="4">
        <v>1</v>
      </c>
      <c r="Y323" s="4">
        <v>2</v>
      </c>
      <c r="Z323" s="4">
        <v>1</v>
      </c>
      <c r="AA323" s="26">
        <v>1</v>
      </c>
      <c r="AP323" s="6"/>
      <c r="AR323" s="4">
        <f t="shared" si="34"/>
        <v>8</v>
      </c>
      <c r="AS323" s="4">
        <f t="shared" si="35"/>
        <v>16</v>
      </c>
      <c r="AT323" s="32">
        <f t="shared" si="36"/>
        <v>390.4</v>
      </c>
    </row>
    <row r="324" customHeight="1" spans="1:46">
      <c r="A324" s="4">
        <v>323</v>
      </c>
      <c r="B324" s="4" t="s">
        <v>606</v>
      </c>
      <c r="C324" s="5">
        <v>18775985275</v>
      </c>
      <c r="D324" s="65">
        <v>46153</v>
      </c>
      <c r="E324" s="65">
        <v>46184</v>
      </c>
      <c r="F324" s="11">
        <v>488</v>
      </c>
      <c r="G324" s="11">
        <v>20</v>
      </c>
      <c r="H324" s="68">
        <f t="shared" si="33"/>
        <v>24.4</v>
      </c>
      <c r="I324" s="11" t="s">
        <v>240</v>
      </c>
      <c r="J324" s="6" t="s">
        <v>607</v>
      </c>
      <c r="L324" s="4">
        <v>20</v>
      </c>
      <c r="W324" s="4">
        <v>1</v>
      </c>
      <c r="Y324" s="4">
        <v>2</v>
      </c>
      <c r="Z324" s="4">
        <v>2</v>
      </c>
      <c r="AA324" s="26">
        <v>2</v>
      </c>
      <c r="AR324" s="11">
        <f t="shared" si="34"/>
        <v>7</v>
      </c>
      <c r="AS324" s="11">
        <f t="shared" si="35"/>
        <v>13</v>
      </c>
      <c r="AT324" s="81">
        <f t="shared" si="36"/>
        <v>317.2</v>
      </c>
    </row>
    <row r="325" customHeight="1" spans="1:46">
      <c r="A325" s="4">
        <v>324</v>
      </c>
      <c r="B325" s="4" t="s">
        <v>608</v>
      </c>
      <c r="C325" s="5">
        <v>15527920293</v>
      </c>
      <c r="D325" s="65">
        <v>46153</v>
      </c>
      <c r="E325" s="65">
        <v>46184</v>
      </c>
      <c r="F325" s="11">
        <v>488</v>
      </c>
      <c r="G325" s="11">
        <v>20</v>
      </c>
      <c r="H325" s="68">
        <f t="shared" si="33"/>
        <v>24.4</v>
      </c>
      <c r="I325" s="11" t="s">
        <v>240</v>
      </c>
      <c r="J325" s="6" t="s">
        <v>607</v>
      </c>
      <c r="L325" s="4">
        <v>20</v>
      </c>
      <c r="W325" s="4">
        <v>1</v>
      </c>
      <c r="X325" s="4">
        <v>2</v>
      </c>
      <c r="Y325" s="4">
        <v>1</v>
      </c>
      <c r="Z325" s="4">
        <v>2</v>
      </c>
      <c r="AA325" s="26">
        <v>2</v>
      </c>
      <c r="AR325" s="11">
        <f t="shared" si="34"/>
        <v>8</v>
      </c>
      <c r="AS325" s="11">
        <f t="shared" si="35"/>
        <v>12</v>
      </c>
      <c r="AT325" s="81">
        <f t="shared" si="36"/>
        <v>292.8</v>
      </c>
    </row>
    <row r="326" customHeight="1" spans="1:46">
      <c r="A326" s="4">
        <v>325</v>
      </c>
      <c r="B326" s="4" t="s">
        <v>609</v>
      </c>
      <c r="C326" s="5">
        <v>18098934654</v>
      </c>
      <c r="D326" s="65">
        <v>46153</v>
      </c>
      <c r="E326" s="65">
        <v>46184</v>
      </c>
      <c r="F326" s="11">
        <v>488</v>
      </c>
      <c r="G326" s="11">
        <v>20</v>
      </c>
      <c r="H326" s="68">
        <f t="shared" si="33"/>
        <v>24.4</v>
      </c>
      <c r="I326" s="11" t="s">
        <v>240</v>
      </c>
      <c r="J326" s="6" t="s">
        <v>607</v>
      </c>
      <c r="L326" s="4">
        <v>20</v>
      </c>
      <c r="W326" s="4">
        <v>1</v>
      </c>
      <c r="X326" s="4">
        <v>1</v>
      </c>
      <c r="Y326" s="4">
        <v>1</v>
      </c>
      <c r="AR326" s="11">
        <f t="shared" si="34"/>
        <v>3</v>
      </c>
      <c r="AS326" s="11">
        <f t="shared" si="35"/>
        <v>17</v>
      </c>
      <c r="AT326" s="81">
        <f t="shared" si="36"/>
        <v>414.8</v>
      </c>
    </row>
    <row r="327" customHeight="1" spans="1:46">
      <c r="A327" s="4">
        <v>326</v>
      </c>
      <c r="B327" s="4" t="s">
        <v>610</v>
      </c>
      <c r="C327" s="5">
        <v>19972656730</v>
      </c>
      <c r="D327" s="65">
        <v>46153</v>
      </c>
      <c r="E327" s="65">
        <v>46184</v>
      </c>
      <c r="F327" s="11">
        <v>488</v>
      </c>
      <c r="G327" s="11">
        <v>20</v>
      </c>
      <c r="H327" s="68">
        <f t="shared" si="33"/>
        <v>24.4</v>
      </c>
      <c r="I327" s="11" t="s">
        <v>240</v>
      </c>
      <c r="J327" s="6" t="s">
        <v>607</v>
      </c>
      <c r="L327" s="4">
        <v>20</v>
      </c>
      <c r="W327" s="4">
        <v>1</v>
      </c>
      <c r="X327" s="4">
        <v>1</v>
      </c>
      <c r="Y327" s="4">
        <v>1</v>
      </c>
      <c r="Z327" s="4">
        <v>1</v>
      </c>
      <c r="AA327" s="26">
        <v>1</v>
      </c>
      <c r="AR327" s="11">
        <f t="shared" si="34"/>
        <v>5</v>
      </c>
      <c r="AS327" s="11">
        <f t="shared" si="35"/>
        <v>15</v>
      </c>
      <c r="AT327" s="81">
        <f t="shared" si="36"/>
        <v>366</v>
      </c>
    </row>
    <row r="328" customHeight="1" spans="1:46">
      <c r="A328" s="4">
        <v>327</v>
      </c>
      <c r="B328" s="4" t="s">
        <v>611</v>
      </c>
      <c r="C328" s="5">
        <v>15729117662</v>
      </c>
      <c r="D328" s="65">
        <v>46153</v>
      </c>
      <c r="E328" s="65">
        <v>46184</v>
      </c>
      <c r="F328" s="11">
        <v>488</v>
      </c>
      <c r="G328" s="11">
        <v>20</v>
      </c>
      <c r="H328" s="68">
        <f t="shared" si="33"/>
        <v>24.4</v>
      </c>
      <c r="I328" s="11" t="s">
        <v>240</v>
      </c>
      <c r="J328" s="6" t="s">
        <v>607</v>
      </c>
      <c r="L328" s="4">
        <v>20</v>
      </c>
      <c r="W328" s="4">
        <v>1</v>
      </c>
      <c r="X328" s="4">
        <v>1</v>
      </c>
      <c r="Z328" s="4">
        <v>1</v>
      </c>
      <c r="AA328" s="26">
        <v>1</v>
      </c>
      <c r="AR328" s="11">
        <f t="shared" si="34"/>
        <v>4</v>
      </c>
      <c r="AS328" s="11">
        <f t="shared" si="35"/>
        <v>16</v>
      </c>
      <c r="AT328" s="81">
        <f t="shared" si="36"/>
        <v>390.4</v>
      </c>
    </row>
    <row r="329" customHeight="1" spans="1:46">
      <c r="A329" s="4">
        <v>328</v>
      </c>
      <c r="B329" s="4" t="s">
        <v>612</v>
      </c>
      <c r="C329" s="5">
        <v>15927446634</v>
      </c>
      <c r="D329" s="65">
        <v>46153</v>
      </c>
      <c r="E329" s="65">
        <v>46184</v>
      </c>
      <c r="F329" s="11">
        <v>488</v>
      </c>
      <c r="G329" s="11">
        <v>20</v>
      </c>
      <c r="H329" s="68">
        <f t="shared" si="33"/>
        <v>24.4</v>
      </c>
      <c r="I329" s="11" t="s">
        <v>240</v>
      </c>
      <c r="J329" s="6" t="s">
        <v>607</v>
      </c>
      <c r="L329" s="4">
        <v>20</v>
      </c>
      <c r="AR329" s="11">
        <f t="shared" si="34"/>
        <v>0</v>
      </c>
      <c r="AS329" s="11">
        <f t="shared" si="35"/>
        <v>20</v>
      </c>
      <c r="AT329" s="81">
        <f t="shared" si="36"/>
        <v>488</v>
      </c>
    </row>
    <row r="330" customHeight="1" spans="1:46">
      <c r="A330" s="4">
        <v>329</v>
      </c>
      <c r="B330" s="4" t="s">
        <v>613</v>
      </c>
      <c r="C330" s="5">
        <v>18327153470</v>
      </c>
      <c r="D330" s="65">
        <v>46153</v>
      </c>
      <c r="E330" s="65">
        <v>46184</v>
      </c>
      <c r="F330" s="11">
        <v>488</v>
      </c>
      <c r="G330" s="11">
        <v>20</v>
      </c>
      <c r="H330" s="68">
        <f t="shared" si="33"/>
        <v>24.4</v>
      </c>
      <c r="I330" s="11" t="s">
        <v>240</v>
      </c>
      <c r="J330" s="6" t="s">
        <v>607</v>
      </c>
      <c r="L330" s="4">
        <v>20</v>
      </c>
      <c r="AA330" s="26">
        <v>1</v>
      </c>
      <c r="AR330" s="11">
        <f t="shared" si="34"/>
        <v>1</v>
      </c>
      <c r="AS330" s="11">
        <f t="shared" si="35"/>
        <v>19</v>
      </c>
      <c r="AT330" s="81">
        <f t="shared" si="36"/>
        <v>463.6</v>
      </c>
    </row>
    <row r="331" customHeight="1" spans="1:46">
      <c r="A331" s="4">
        <v>330</v>
      </c>
      <c r="B331" s="4" t="s">
        <v>614</v>
      </c>
      <c r="C331" s="5">
        <v>17671254927</v>
      </c>
      <c r="D331" s="65">
        <v>46151</v>
      </c>
      <c r="E331" s="65">
        <v>46182</v>
      </c>
      <c r="F331" s="4">
        <v>488</v>
      </c>
      <c r="G331" s="4">
        <v>20</v>
      </c>
      <c r="H331" s="66">
        <f t="shared" si="33"/>
        <v>24.4</v>
      </c>
      <c r="I331" s="6" t="s">
        <v>240</v>
      </c>
      <c r="J331" s="6" t="s">
        <v>578</v>
      </c>
      <c r="L331" s="4">
        <v>20</v>
      </c>
      <c r="U331" s="4">
        <v>1</v>
      </c>
      <c r="W331" s="4">
        <v>1</v>
      </c>
      <c r="X331" s="4">
        <v>2</v>
      </c>
      <c r="Y331" s="4">
        <v>2</v>
      </c>
      <c r="AR331" s="11">
        <f t="shared" si="34"/>
        <v>6</v>
      </c>
      <c r="AS331" s="11">
        <f t="shared" si="35"/>
        <v>14</v>
      </c>
      <c r="AT331" s="81">
        <f t="shared" si="36"/>
        <v>341.6</v>
      </c>
    </row>
    <row r="332" s="4" customFormat="1" customHeight="1" spans="1:46">
      <c r="A332" s="4">
        <v>331</v>
      </c>
      <c r="B332" s="1" t="s">
        <v>615</v>
      </c>
      <c r="C332" s="2">
        <v>15072045813</v>
      </c>
      <c r="D332" s="65">
        <v>46157</v>
      </c>
      <c r="E332" s="65">
        <v>46249</v>
      </c>
      <c r="F332" s="4">
        <v>788</v>
      </c>
      <c r="G332" s="4">
        <v>30</v>
      </c>
      <c r="H332" s="66">
        <f t="shared" si="33"/>
        <v>26.2666666666667</v>
      </c>
      <c r="I332" s="4" t="s">
        <v>189</v>
      </c>
      <c r="J332" s="1" t="s">
        <v>616</v>
      </c>
      <c r="K332" s="56" t="s">
        <v>617</v>
      </c>
      <c r="L332" s="75">
        <v>36</v>
      </c>
      <c r="S332" s="4">
        <v>2</v>
      </c>
      <c r="T332" s="4">
        <v>1</v>
      </c>
      <c r="U332" s="4">
        <v>2</v>
      </c>
      <c r="W332" s="4">
        <v>2</v>
      </c>
      <c r="X332" s="4">
        <v>2</v>
      </c>
      <c r="Y332" s="4"/>
      <c r="Z332" s="4">
        <v>2</v>
      </c>
      <c r="AA332" s="26">
        <v>1</v>
      </c>
      <c r="AB332" s="4"/>
      <c r="AC332" s="4"/>
      <c r="AP332" s="5"/>
      <c r="AQ332" s="5"/>
      <c r="AR332" s="4">
        <f t="shared" si="34"/>
        <v>12</v>
      </c>
      <c r="AS332" s="4">
        <f t="shared" si="35"/>
        <v>24</v>
      </c>
      <c r="AT332" s="32">
        <f t="shared" si="36"/>
        <v>630.400000000001</v>
      </c>
    </row>
    <row r="333" s="4" customFormat="1" customHeight="1" spans="1:46">
      <c r="A333" s="4">
        <v>332</v>
      </c>
      <c r="B333" s="4" t="s">
        <v>618</v>
      </c>
      <c r="C333" s="5">
        <v>18907260834</v>
      </c>
      <c r="D333" s="65">
        <v>46154</v>
      </c>
      <c r="E333" s="65">
        <v>46185</v>
      </c>
      <c r="F333" s="4">
        <v>488</v>
      </c>
      <c r="G333" s="4">
        <v>20</v>
      </c>
      <c r="H333" s="66">
        <f t="shared" si="33"/>
        <v>24.4</v>
      </c>
      <c r="I333" s="56" t="s">
        <v>240</v>
      </c>
      <c r="J333" s="56" t="s">
        <v>274</v>
      </c>
      <c r="K333" s="56" t="s">
        <v>602</v>
      </c>
      <c r="L333" s="4">
        <v>21</v>
      </c>
      <c r="X333" s="4">
        <v>1</v>
      </c>
      <c r="Y333" s="4">
        <v>1</v>
      </c>
      <c r="Z333" s="4">
        <v>1</v>
      </c>
      <c r="AA333" s="26">
        <v>1</v>
      </c>
      <c r="AB333" s="4"/>
      <c r="AC333" s="4"/>
      <c r="AP333" s="56"/>
      <c r="AR333" s="4">
        <f t="shared" si="34"/>
        <v>4</v>
      </c>
      <c r="AS333" s="4">
        <f t="shared" si="35"/>
        <v>17</v>
      </c>
      <c r="AT333" s="32">
        <f t="shared" si="36"/>
        <v>414.8</v>
      </c>
    </row>
    <row r="334" customHeight="1" spans="1:46">
      <c r="A334" s="4">
        <v>333</v>
      </c>
      <c r="B334" s="4" t="s">
        <v>619</v>
      </c>
      <c r="C334" s="5">
        <v>15568430095</v>
      </c>
      <c r="D334" s="65">
        <v>46153</v>
      </c>
      <c r="E334" s="65">
        <v>46184</v>
      </c>
      <c r="F334" s="11">
        <v>488</v>
      </c>
      <c r="G334" s="11">
        <v>20</v>
      </c>
      <c r="H334" s="68">
        <f t="shared" si="33"/>
        <v>24.4</v>
      </c>
      <c r="I334" s="11" t="s">
        <v>240</v>
      </c>
      <c r="J334" s="6" t="s">
        <v>607</v>
      </c>
      <c r="L334" s="4">
        <v>20</v>
      </c>
      <c r="W334" s="4">
        <v>1</v>
      </c>
      <c r="X334" s="4">
        <v>1</v>
      </c>
      <c r="Y334" s="4">
        <v>1</v>
      </c>
      <c r="Z334" s="4">
        <v>1</v>
      </c>
      <c r="AA334" s="26">
        <v>1</v>
      </c>
      <c r="AR334" s="11">
        <f t="shared" si="34"/>
        <v>5</v>
      </c>
      <c r="AS334" s="11">
        <f t="shared" si="35"/>
        <v>15</v>
      </c>
      <c r="AT334" s="81">
        <f t="shared" si="36"/>
        <v>366</v>
      </c>
    </row>
    <row r="335" customHeight="1" spans="1:46">
      <c r="A335" s="4">
        <v>334</v>
      </c>
      <c r="B335" s="4" t="s">
        <v>620</v>
      </c>
      <c r="C335" s="5">
        <v>15709143992</v>
      </c>
      <c r="D335" s="65">
        <v>46153</v>
      </c>
      <c r="E335" s="65">
        <v>46184</v>
      </c>
      <c r="F335" s="11">
        <v>488</v>
      </c>
      <c r="G335" s="11">
        <v>20</v>
      </c>
      <c r="H335" s="68">
        <f t="shared" si="33"/>
        <v>24.4</v>
      </c>
      <c r="I335" s="11" t="s">
        <v>240</v>
      </c>
      <c r="J335" s="6" t="s">
        <v>607</v>
      </c>
      <c r="L335" s="4">
        <v>20</v>
      </c>
      <c r="W335" s="4">
        <v>1</v>
      </c>
      <c r="X335" s="4">
        <v>1</v>
      </c>
      <c r="Y335" s="4">
        <v>1</v>
      </c>
      <c r="Z335" s="4">
        <v>1</v>
      </c>
      <c r="AA335" s="26">
        <v>1</v>
      </c>
      <c r="AR335" s="11">
        <f t="shared" si="34"/>
        <v>5</v>
      </c>
      <c r="AS335" s="11">
        <f t="shared" si="35"/>
        <v>15</v>
      </c>
      <c r="AT335" s="81">
        <f t="shared" si="36"/>
        <v>366</v>
      </c>
    </row>
    <row r="336" s="4" customFormat="1" customHeight="1" spans="1:46">
      <c r="A336" s="4">
        <v>335</v>
      </c>
      <c r="B336" s="56" t="s">
        <v>621</v>
      </c>
      <c r="C336" s="5">
        <v>18347305951</v>
      </c>
      <c r="D336" s="65">
        <v>46153</v>
      </c>
      <c r="E336" s="65">
        <v>46184</v>
      </c>
      <c r="F336" s="4">
        <v>488</v>
      </c>
      <c r="G336" s="4">
        <v>20</v>
      </c>
      <c r="H336" s="66">
        <f t="shared" si="33"/>
        <v>24.4</v>
      </c>
      <c r="I336" s="56" t="s">
        <v>240</v>
      </c>
      <c r="J336" s="56" t="s">
        <v>259</v>
      </c>
      <c r="K336" s="56" t="s">
        <v>607</v>
      </c>
      <c r="L336" s="4">
        <v>21</v>
      </c>
      <c r="T336" s="4">
        <v>1</v>
      </c>
      <c r="W336" s="4">
        <v>2</v>
      </c>
      <c r="X336" s="4"/>
      <c r="Y336" s="4">
        <v>2</v>
      </c>
      <c r="Z336" s="4">
        <v>1</v>
      </c>
      <c r="AA336" s="26"/>
      <c r="AB336" s="4"/>
      <c r="AC336" s="4"/>
      <c r="AP336" s="56"/>
      <c r="AR336" s="4">
        <f t="shared" si="34"/>
        <v>6</v>
      </c>
      <c r="AS336" s="4">
        <f t="shared" si="35"/>
        <v>15</v>
      </c>
      <c r="AT336" s="32">
        <f t="shared" si="36"/>
        <v>366</v>
      </c>
    </row>
    <row r="337" customHeight="1" spans="1:46">
      <c r="A337" s="4">
        <v>336</v>
      </c>
      <c r="B337" s="4" t="s">
        <v>622</v>
      </c>
      <c r="C337" s="5">
        <v>13336049465</v>
      </c>
      <c r="D337" s="65">
        <v>46153</v>
      </c>
      <c r="E337" s="65">
        <v>46184</v>
      </c>
      <c r="F337" s="11">
        <v>488</v>
      </c>
      <c r="G337" s="11">
        <v>20</v>
      </c>
      <c r="H337" s="68">
        <f t="shared" si="33"/>
        <v>24.4</v>
      </c>
      <c r="I337" s="11" t="s">
        <v>240</v>
      </c>
      <c r="J337" s="6" t="s">
        <v>607</v>
      </c>
      <c r="L337" s="4">
        <v>20</v>
      </c>
      <c r="W337" s="4">
        <v>1</v>
      </c>
      <c r="X337" s="4">
        <v>1</v>
      </c>
      <c r="Y337" s="4">
        <v>2</v>
      </c>
      <c r="Z337" s="4">
        <v>1</v>
      </c>
      <c r="AA337" s="26">
        <v>2</v>
      </c>
      <c r="AR337" s="11">
        <f t="shared" si="34"/>
        <v>7</v>
      </c>
      <c r="AS337" s="11">
        <f t="shared" si="35"/>
        <v>13</v>
      </c>
      <c r="AT337" s="81">
        <f t="shared" si="36"/>
        <v>317.2</v>
      </c>
    </row>
    <row r="338" customHeight="1" spans="1:46">
      <c r="A338" s="4">
        <v>337</v>
      </c>
      <c r="B338" s="4" t="s">
        <v>623</v>
      </c>
      <c r="C338" s="5">
        <v>13227508916</v>
      </c>
      <c r="D338" s="65">
        <v>46154</v>
      </c>
      <c r="E338" s="65">
        <v>46185</v>
      </c>
      <c r="F338" s="11">
        <v>488</v>
      </c>
      <c r="G338" s="11">
        <v>20</v>
      </c>
      <c r="H338" s="68">
        <f t="shared" si="33"/>
        <v>24.4</v>
      </c>
      <c r="I338" s="11" t="s">
        <v>240</v>
      </c>
      <c r="J338" s="6" t="s">
        <v>607</v>
      </c>
      <c r="L338" s="4">
        <v>20</v>
      </c>
      <c r="X338" s="4">
        <v>1</v>
      </c>
      <c r="Y338" s="4">
        <v>1</v>
      </c>
      <c r="Z338" s="4">
        <v>1</v>
      </c>
      <c r="AA338" s="26">
        <v>1</v>
      </c>
      <c r="AR338" s="11">
        <f t="shared" si="34"/>
        <v>4</v>
      </c>
      <c r="AS338" s="11">
        <f t="shared" si="35"/>
        <v>16</v>
      </c>
      <c r="AT338" s="81">
        <f t="shared" si="36"/>
        <v>390.4</v>
      </c>
    </row>
    <row r="339" customHeight="1" spans="1:46">
      <c r="A339" s="4">
        <v>338</v>
      </c>
      <c r="B339" s="4" t="s">
        <v>624</v>
      </c>
      <c r="C339" s="5">
        <v>15007194448</v>
      </c>
      <c r="D339" s="65">
        <v>46154</v>
      </c>
      <c r="E339" s="65">
        <v>46185</v>
      </c>
      <c r="F339" s="11">
        <v>488</v>
      </c>
      <c r="G339" s="11">
        <v>20</v>
      </c>
      <c r="H339" s="68">
        <f t="shared" si="33"/>
        <v>24.4</v>
      </c>
      <c r="I339" s="11" t="s">
        <v>240</v>
      </c>
      <c r="J339" s="6" t="s">
        <v>607</v>
      </c>
      <c r="L339" s="4">
        <v>20</v>
      </c>
      <c r="X339" s="4">
        <v>2</v>
      </c>
      <c r="Y339" s="4">
        <v>2</v>
      </c>
      <c r="AR339" s="11">
        <f t="shared" si="34"/>
        <v>4</v>
      </c>
      <c r="AS339" s="11">
        <f t="shared" si="35"/>
        <v>16</v>
      </c>
      <c r="AT339" s="81">
        <f t="shared" si="36"/>
        <v>390.4</v>
      </c>
    </row>
    <row r="340" customHeight="1" spans="1:46">
      <c r="A340" s="4">
        <v>339</v>
      </c>
      <c r="B340" s="4" t="s">
        <v>625</v>
      </c>
      <c r="C340" s="5">
        <v>18995608184</v>
      </c>
      <c r="D340" s="65">
        <v>46154</v>
      </c>
      <c r="E340" s="65">
        <v>46185</v>
      </c>
      <c r="F340" s="11">
        <v>488</v>
      </c>
      <c r="G340" s="11">
        <v>20</v>
      </c>
      <c r="H340" s="68">
        <f t="shared" si="33"/>
        <v>24.4</v>
      </c>
      <c r="I340" s="11" t="s">
        <v>240</v>
      </c>
      <c r="J340" s="6" t="s">
        <v>607</v>
      </c>
      <c r="L340" s="4">
        <v>20</v>
      </c>
      <c r="X340" s="4">
        <v>1</v>
      </c>
      <c r="Y340" s="4">
        <v>1</v>
      </c>
      <c r="Z340" s="4">
        <v>1</v>
      </c>
      <c r="AA340" s="26">
        <v>1</v>
      </c>
      <c r="AR340" s="11">
        <f t="shared" si="34"/>
        <v>4</v>
      </c>
      <c r="AS340" s="11">
        <f t="shared" si="35"/>
        <v>16</v>
      </c>
      <c r="AT340" s="81">
        <f t="shared" si="36"/>
        <v>390.4</v>
      </c>
    </row>
    <row r="341" customHeight="1" spans="1:46">
      <c r="A341" s="4">
        <v>340</v>
      </c>
      <c r="B341" s="4" t="s">
        <v>626</v>
      </c>
      <c r="C341" s="5">
        <v>18371337771</v>
      </c>
      <c r="D341" s="65">
        <v>46154</v>
      </c>
      <c r="E341" s="65">
        <v>46185</v>
      </c>
      <c r="F341" s="11">
        <v>488</v>
      </c>
      <c r="G341" s="11">
        <v>20</v>
      </c>
      <c r="H341" s="68">
        <f t="shared" ref="H341:H354" si="37">F341/G341</f>
        <v>24.4</v>
      </c>
      <c r="I341" s="11" t="s">
        <v>240</v>
      </c>
      <c r="J341" s="6" t="s">
        <v>607</v>
      </c>
      <c r="L341" s="4">
        <v>20</v>
      </c>
      <c r="X341" s="4">
        <v>1</v>
      </c>
      <c r="Y341" s="4">
        <v>1</v>
      </c>
      <c r="Z341" s="4">
        <v>1</v>
      </c>
      <c r="AA341" s="26">
        <v>1</v>
      </c>
      <c r="AR341" s="11">
        <f t="shared" si="34"/>
        <v>4</v>
      </c>
      <c r="AS341" s="11">
        <f t="shared" si="35"/>
        <v>16</v>
      </c>
      <c r="AT341" s="81">
        <f t="shared" si="36"/>
        <v>390.4</v>
      </c>
    </row>
    <row r="342" customHeight="1" spans="1:46">
      <c r="A342" s="4">
        <v>341</v>
      </c>
      <c r="B342" s="4" t="s">
        <v>627</v>
      </c>
      <c r="C342" s="5">
        <v>19883299660</v>
      </c>
      <c r="D342" s="65">
        <v>46154</v>
      </c>
      <c r="E342" s="65">
        <v>46185</v>
      </c>
      <c r="F342" s="11">
        <v>488</v>
      </c>
      <c r="G342" s="11">
        <v>20</v>
      </c>
      <c r="H342" s="68">
        <f t="shared" si="37"/>
        <v>24.4</v>
      </c>
      <c r="I342" s="11" t="s">
        <v>240</v>
      </c>
      <c r="J342" s="6" t="s">
        <v>607</v>
      </c>
      <c r="L342" s="4">
        <v>20</v>
      </c>
      <c r="X342" s="4">
        <v>2</v>
      </c>
      <c r="Y342" s="4">
        <v>2</v>
      </c>
      <c r="Z342" s="4">
        <v>2</v>
      </c>
      <c r="AA342" s="26">
        <v>2</v>
      </c>
      <c r="AR342" s="11">
        <f t="shared" si="34"/>
        <v>8</v>
      </c>
      <c r="AS342" s="11">
        <f t="shared" si="35"/>
        <v>12</v>
      </c>
      <c r="AT342" s="81">
        <f t="shared" si="36"/>
        <v>292.8</v>
      </c>
    </row>
    <row r="343" customHeight="1" spans="1:46">
      <c r="A343" s="4">
        <v>342</v>
      </c>
      <c r="B343" s="4" t="s">
        <v>628</v>
      </c>
      <c r="C343" s="5">
        <v>13407232025</v>
      </c>
      <c r="D343" s="65">
        <v>46154</v>
      </c>
      <c r="E343" s="65">
        <v>46185</v>
      </c>
      <c r="F343" s="11">
        <v>488</v>
      </c>
      <c r="G343" s="11">
        <v>20</v>
      </c>
      <c r="H343" s="68">
        <f t="shared" si="37"/>
        <v>24.4</v>
      </c>
      <c r="I343" s="11" t="s">
        <v>240</v>
      </c>
      <c r="J343" s="6" t="s">
        <v>607</v>
      </c>
      <c r="L343" s="4">
        <v>20</v>
      </c>
      <c r="X343" s="4">
        <v>2</v>
      </c>
      <c r="Y343" s="4">
        <v>2</v>
      </c>
      <c r="Z343" s="4">
        <v>2</v>
      </c>
      <c r="AA343" s="26">
        <v>2</v>
      </c>
      <c r="AR343" s="11">
        <f t="shared" si="34"/>
        <v>8</v>
      </c>
      <c r="AS343" s="11">
        <f t="shared" si="35"/>
        <v>12</v>
      </c>
      <c r="AT343" s="81">
        <f t="shared" si="36"/>
        <v>292.8</v>
      </c>
    </row>
    <row r="344" customHeight="1" spans="1:46">
      <c r="A344" s="4">
        <v>343</v>
      </c>
      <c r="B344" s="4" t="s">
        <v>629</v>
      </c>
      <c r="C344" s="5">
        <v>13396069836</v>
      </c>
      <c r="D344" s="65">
        <v>46154</v>
      </c>
      <c r="E344" s="65">
        <v>46185</v>
      </c>
      <c r="F344" s="11">
        <v>488</v>
      </c>
      <c r="G344" s="11">
        <v>20</v>
      </c>
      <c r="H344" s="68">
        <f t="shared" si="37"/>
        <v>24.4</v>
      </c>
      <c r="I344" s="11" t="s">
        <v>240</v>
      </c>
      <c r="J344" s="6" t="s">
        <v>607</v>
      </c>
      <c r="L344" s="4">
        <v>20</v>
      </c>
      <c r="X344" s="4">
        <v>1</v>
      </c>
      <c r="Y344" s="4">
        <v>1</v>
      </c>
      <c r="Z344" s="4">
        <v>1</v>
      </c>
      <c r="AA344" s="26">
        <v>1</v>
      </c>
      <c r="AR344" s="11">
        <f t="shared" si="34"/>
        <v>4</v>
      </c>
      <c r="AS344" s="11">
        <f t="shared" si="35"/>
        <v>16</v>
      </c>
      <c r="AT344" s="81">
        <f t="shared" si="36"/>
        <v>390.4</v>
      </c>
    </row>
    <row r="345" customHeight="1" spans="1:46">
      <c r="A345" s="4">
        <v>344</v>
      </c>
      <c r="B345" s="4" t="s">
        <v>630</v>
      </c>
      <c r="C345" s="5">
        <v>13873672119</v>
      </c>
      <c r="D345" s="65">
        <v>46154</v>
      </c>
      <c r="E345" s="65">
        <v>46185</v>
      </c>
      <c r="F345" s="11">
        <v>488</v>
      </c>
      <c r="G345" s="11">
        <v>20</v>
      </c>
      <c r="H345" s="68">
        <f t="shared" si="37"/>
        <v>24.4</v>
      </c>
      <c r="I345" s="11" t="s">
        <v>240</v>
      </c>
      <c r="J345" s="6" t="s">
        <v>607</v>
      </c>
      <c r="L345" s="4">
        <v>20</v>
      </c>
      <c r="Y345" s="4">
        <v>1</v>
      </c>
      <c r="AR345" s="11">
        <f t="shared" si="34"/>
        <v>1</v>
      </c>
      <c r="AS345" s="11">
        <f t="shared" si="35"/>
        <v>19</v>
      </c>
      <c r="AT345" s="81">
        <f t="shared" si="36"/>
        <v>463.6</v>
      </c>
    </row>
    <row r="346" customHeight="1" spans="1:46">
      <c r="A346" s="4">
        <v>345</v>
      </c>
      <c r="B346" s="4" t="s">
        <v>631</v>
      </c>
      <c r="C346" s="5">
        <v>17671264310</v>
      </c>
      <c r="D346" s="65">
        <v>46154</v>
      </c>
      <c r="E346" s="65">
        <v>46185</v>
      </c>
      <c r="F346" s="11">
        <v>488</v>
      </c>
      <c r="G346" s="11">
        <v>20</v>
      </c>
      <c r="H346" s="68">
        <f t="shared" si="37"/>
        <v>24.4</v>
      </c>
      <c r="I346" s="11" t="s">
        <v>240</v>
      </c>
      <c r="J346" s="6" t="s">
        <v>607</v>
      </c>
      <c r="L346" s="4">
        <v>20</v>
      </c>
      <c r="Y346" s="4">
        <v>1</v>
      </c>
      <c r="Z346" s="4">
        <v>2</v>
      </c>
      <c r="AR346" s="11">
        <f t="shared" si="34"/>
        <v>3</v>
      </c>
      <c r="AS346" s="11">
        <f t="shared" si="35"/>
        <v>17</v>
      </c>
      <c r="AT346" s="81">
        <f t="shared" si="36"/>
        <v>414.8</v>
      </c>
    </row>
    <row r="347" customHeight="1" spans="1:46">
      <c r="A347" s="4">
        <v>346</v>
      </c>
      <c r="B347" s="4" t="s">
        <v>632</v>
      </c>
      <c r="C347" s="5">
        <v>18677918526</v>
      </c>
      <c r="D347" s="65">
        <v>46154</v>
      </c>
      <c r="E347" s="65">
        <v>46185</v>
      </c>
      <c r="F347" s="11">
        <v>488</v>
      </c>
      <c r="G347" s="11">
        <v>20</v>
      </c>
      <c r="H347" s="68">
        <f t="shared" si="37"/>
        <v>24.4</v>
      </c>
      <c r="I347" s="11" t="s">
        <v>240</v>
      </c>
      <c r="J347" s="6" t="s">
        <v>607</v>
      </c>
      <c r="L347" s="4">
        <v>20</v>
      </c>
      <c r="X347" s="4">
        <v>1</v>
      </c>
      <c r="Y347" s="4">
        <v>1</v>
      </c>
      <c r="Z347" s="4">
        <v>1</v>
      </c>
      <c r="AR347" s="11">
        <f t="shared" si="34"/>
        <v>3</v>
      </c>
      <c r="AS347" s="11">
        <f t="shared" si="35"/>
        <v>17</v>
      </c>
      <c r="AT347" s="81">
        <f t="shared" si="36"/>
        <v>414.8</v>
      </c>
    </row>
    <row r="348" customHeight="1" spans="1:46">
      <c r="A348" s="4">
        <v>347</v>
      </c>
      <c r="B348" s="4" t="s">
        <v>633</v>
      </c>
      <c r="C348" s="5">
        <v>15753451168</v>
      </c>
      <c r="D348" s="65">
        <v>46154</v>
      </c>
      <c r="E348" s="65">
        <v>46185</v>
      </c>
      <c r="F348" s="11">
        <v>488</v>
      </c>
      <c r="G348" s="11">
        <v>20</v>
      </c>
      <c r="H348" s="68">
        <f t="shared" si="37"/>
        <v>24.4</v>
      </c>
      <c r="I348" s="11" t="s">
        <v>240</v>
      </c>
      <c r="J348" s="6" t="s">
        <v>607</v>
      </c>
      <c r="L348" s="4">
        <v>20</v>
      </c>
      <c r="Y348" s="4">
        <v>1</v>
      </c>
      <c r="AR348" s="11">
        <f t="shared" si="34"/>
        <v>1</v>
      </c>
      <c r="AS348" s="11">
        <f t="shared" si="35"/>
        <v>19</v>
      </c>
      <c r="AT348" s="81">
        <f t="shared" si="36"/>
        <v>463.6</v>
      </c>
    </row>
    <row r="349" customHeight="1" spans="1:46">
      <c r="A349" s="4">
        <v>348</v>
      </c>
      <c r="B349" s="4" t="s">
        <v>634</v>
      </c>
      <c r="C349" s="5">
        <v>15549362879</v>
      </c>
      <c r="D349" s="65">
        <v>46154</v>
      </c>
      <c r="E349" s="65">
        <v>46185</v>
      </c>
      <c r="F349" s="11">
        <v>488</v>
      </c>
      <c r="G349" s="11">
        <v>20</v>
      </c>
      <c r="H349" s="68">
        <f t="shared" si="37"/>
        <v>24.4</v>
      </c>
      <c r="I349" s="11" t="s">
        <v>240</v>
      </c>
      <c r="J349" s="6" t="s">
        <v>607</v>
      </c>
      <c r="L349" s="4">
        <v>20</v>
      </c>
      <c r="X349" s="4">
        <v>2</v>
      </c>
      <c r="Y349" s="4">
        <v>1</v>
      </c>
      <c r="Z349" s="4">
        <v>1</v>
      </c>
      <c r="AA349" s="26">
        <v>1</v>
      </c>
      <c r="AR349" s="11">
        <f t="shared" si="34"/>
        <v>5</v>
      </c>
      <c r="AS349" s="11">
        <f t="shared" si="35"/>
        <v>15</v>
      </c>
      <c r="AT349" s="81">
        <f t="shared" si="36"/>
        <v>366</v>
      </c>
    </row>
    <row r="350" customHeight="1" spans="1:46">
      <c r="A350" s="4">
        <v>349</v>
      </c>
      <c r="B350" s="4" t="s">
        <v>635</v>
      </c>
      <c r="C350" s="5">
        <v>15337276022</v>
      </c>
      <c r="D350" s="65">
        <v>46154</v>
      </c>
      <c r="E350" s="65">
        <v>46185</v>
      </c>
      <c r="F350" s="11">
        <v>488</v>
      </c>
      <c r="G350" s="11">
        <v>20</v>
      </c>
      <c r="H350" s="68">
        <f t="shared" si="37"/>
        <v>24.4</v>
      </c>
      <c r="I350" s="11" t="s">
        <v>240</v>
      </c>
      <c r="J350" s="6" t="s">
        <v>607</v>
      </c>
      <c r="L350" s="4">
        <v>20</v>
      </c>
      <c r="X350" s="4">
        <v>1</v>
      </c>
      <c r="Y350" s="4">
        <v>1</v>
      </c>
      <c r="Z350" s="4">
        <v>1</v>
      </c>
      <c r="AA350" s="26">
        <v>1</v>
      </c>
      <c r="AR350" s="11">
        <f t="shared" si="34"/>
        <v>4</v>
      </c>
      <c r="AS350" s="11">
        <f t="shared" si="35"/>
        <v>16</v>
      </c>
      <c r="AT350" s="81">
        <f t="shared" si="36"/>
        <v>390.4</v>
      </c>
    </row>
    <row r="351" customHeight="1" spans="1:46">
      <c r="A351" s="4">
        <v>350</v>
      </c>
      <c r="B351" s="4" t="s">
        <v>636</v>
      </c>
      <c r="C351" s="5">
        <v>19107238058</v>
      </c>
      <c r="D351" s="65">
        <v>46154</v>
      </c>
      <c r="E351" s="65">
        <v>46185</v>
      </c>
      <c r="F351" s="11">
        <v>488</v>
      </c>
      <c r="G351" s="11">
        <v>20</v>
      </c>
      <c r="H351" s="68">
        <f t="shared" si="37"/>
        <v>24.4</v>
      </c>
      <c r="I351" s="11" t="s">
        <v>240</v>
      </c>
      <c r="J351" s="6" t="s">
        <v>607</v>
      </c>
      <c r="L351" s="4">
        <v>20</v>
      </c>
      <c r="X351" s="4">
        <v>2</v>
      </c>
      <c r="Y351" s="4">
        <v>1</v>
      </c>
      <c r="Z351" s="4">
        <v>2</v>
      </c>
      <c r="AA351" s="26">
        <v>1</v>
      </c>
      <c r="AR351" s="11">
        <f t="shared" si="34"/>
        <v>6</v>
      </c>
      <c r="AS351" s="11">
        <f t="shared" si="35"/>
        <v>14</v>
      </c>
      <c r="AT351" s="81">
        <f t="shared" si="36"/>
        <v>341.6</v>
      </c>
    </row>
    <row r="352" customHeight="1" spans="1:46">
      <c r="A352" s="4">
        <v>351</v>
      </c>
      <c r="B352" s="4" t="s">
        <v>637</v>
      </c>
      <c r="C352" s="5">
        <v>13733437131</v>
      </c>
      <c r="D352" s="65">
        <v>46154</v>
      </c>
      <c r="E352" s="65">
        <v>46185</v>
      </c>
      <c r="F352" s="11">
        <v>488</v>
      </c>
      <c r="G352" s="11">
        <v>20</v>
      </c>
      <c r="H352" s="68">
        <f t="shared" si="37"/>
        <v>24.4</v>
      </c>
      <c r="I352" s="11" t="s">
        <v>240</v>
      </c>
      <c r="J352" s="6" t="s">
        <v>607</v>
      </c>
      <c r="L352" s="4">
        <v>20</v>
      </c>
      <c r="X352" s="4">
        <v>1</v>
      </c>
      <c r="Y352" s="4">
        <v>1</v>
      </c>
      <c r="Z352" s="4">
        <v>1</v>
      </c>
      <c r="AA352" s="26">
        <v>1</v>
      </c>
      <c r="AR352" s="11">
        <f t="shared" si="34"/>
        <v>4</v>
      </c>
      <c r="AS352" s="11">
        <f t="shared" si="35"/>
        <v>16</v>
      </c>
      <c r="AT352" s="81">
        <f t="shared" si="36"/>
        <v>390.4</v>
      </c>
    </row>
    <row r="353" customHeight="1" spans="1:46">
      <c r="A353" s="4">
        <v>352</v>
      </c>
      <c r="B353" s="4" t="s">
        <v>638</v>
      </c>
      <c r="C353" s="5">
        <v>18672556118</v>
      </c>
      <c r="D353" s="65">
        <v>46154</v>
      </c>
      <c r="E353" s="65">
        <v>46185</v>
      </c>
      <c r="F353" s="11">
        <v>488</v>
      </c>
      <c r="G353" s="11">
        <v>20</v>
      </c>
      <c r="H353" s="68">
        <f t="shared" si="37"/>
        <v>24.4</v>
      </c>
      <c r="I353" s="11" t="s">
        <v>240</v>
      </c>
      <c r="J353" s="6" t="s">
        <v>607</v>
      </c>
      <c r="L353" s="4">
        <v>20</v>
      </c>
      <c r="X353" s="4">
        <v>1</v>
      </c>
      <c r="Z353" s="4">
        <v>1</v>
      </c>
      <c r="AA353" s="26">
        <v>1</v>
      </c>
      <c r="AR353" s="11">
        <f t="shared" si="34"/>
        <v>3</v>
      </c>
      <c r="AS353" s="11">
        <f t="shared" si="35"/>
        <v>17</v>
      </c>
      <c r="AT353" s="81">
        <f t="shared" si="36"/>
        <v>414.8</v>
      </c>
    </row>
    <row r="354" customHeight="1" spans="1:46">
      <c r="A354" s="4">
        <v>353</v>
      </c>
      <c r="B354" s="4" t="s">
        <v>639</v>
      </c>
      <c r="C354" s="5">
        <v>13733012778</v>
      </c>
      <c r="D354" s="65">
        <v>46154</v>
      </c>
      <c r="E354" s="65">
        <v>46185</v>
      </c>
      <c r="F354" s="11">
        <v>488</v>
      </c>
      <c r="G354" s="11">
        <v>20</v>
      </c>
      <c r="H354" s="68">
        <f t="shared" si="37"/>
        <v>24.4</v>
      </c>
      <c r="I354" s="11" t="s">
        <v>240</v>
      </c>
      <c r="J354" s="6" t="s">
        <v>607</v>
      </c>
      <c r="L354" s="4">
        <v>20</v>
      </c>
      <c r="X354" s="4">
        <v>1</v>
      </c>
      <c r="Y354" s="4">
        <v>1</v>
      </c>
      <c r="Z354" s="4">
        <v>1</v>
      </c>
      <c r="AA354" s="26">
        <v>1</v>
      </c>
      <c r="AR354" s="11">
        <f t="shared" si="34"/>
        <v>4</v>
      </c>
      <c r="AS354" s="11">
        <f t="shared" si="35"/>
        <v>16</v>
      </c>
      <c r="AT354" s="81">
        <f t="shared" si="36"/>
        <v>390.4</v>
      </c>
    </row>
    <row r="355" s="4" customFormat="1" customHeight="1" spans="1:46">
      <c r="A355" s="4">
        <v>354</v>
      </c>
      <c r="B355" s="4" t="s">
        <v>640</v>
      </c>
      <c r="C355" s="5">
        <v>17786447326</v>
      </c>
      <c r="D355" s="65">
        <v>46160</v>
      </c>
      <c r="E355" s="65">
        <v>46191</v>
      </c>
      <c r="F355" s="4">
        <v>488</v>
      </c>
      <c r="G355" s="4">
        <v>20</v>
      </c>
      <c r="H355" s="66">
        <f t="shared" ref="H355:H357" si="38">F355/G355</f>
        <v>24.4</v>
      </c>
      <c r="I355" s="56" t="s">
        <v>240</v>
      </c>
      <c r="J355" s="56" t="s">
        <v>259</v>
      </c>
      <c r="K355" s="56" t="s">
        <v>641</v>
      </c>
      <c r="L355" s="4">
        <v>23</v>
      </c>
      <c r="M355" s="4"/>
      <c r="N355" s="4"/>
      <c r="O355" s="4"/>
      <c r="P355" s="4"/>
      <c r="Q355" s="4"/>
      <c r="R355" s="4">
        <v>1</v>
      </c>
      <c r="S355" s="4">
        <v>1</v>
      </c>
      <c r="T355" s="4"/>
      <c r="U355" s="4"/>
      <c r="V355" s="4"/>
      <c r="W355" s="4">
        <v>1</v>
      </c>
      <c r="X355" s="4"/>
      <c r="Y355" s="4"/>
      <c r="Z355" s="4"/>
      <c r="AA355" s="26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5"/>
      <c r="AQ355" s="4"/>
      <c r="AR355" s="4">
        <f t="shared" si="34"/>
        <v>3</v>
      </c>
      <c r="AS355" s="4">
        <f t="shared" si="35"/>
        <v>20</v>
      </c>
      <c r="AT355" s="32">
        <f t="shared" si="36"/>
        <v>488</v>
      </c>
    </row>
    <row r="356" customHeight="1" spans="1:46">
      <c r="A356" s="4">
        <v>355</v>
      </c>
      <c r="B356" s="4" t="s">
        <v>642</v>
      </c>
      <c r="C356" s="5">
        <v>15827345613</v>
      </c>
      <c r="D356" s="65">
        <v>46155</v>
      </c>
      <c r="E356" s="65">
        <v>46186</v>
      </c>
      <c r="F356" s="11">
        <v>488</v>
      </c>
      <c r="G356" s="11">
        <v>20</v>
      </c>
      <c r="H356" s="68">
        <f t="shared" si="38"/>
        <v>24.4</v>
      </c>
      <c r="I356" s="11" t="s">
        <v>240</v>
      </c>
      <c r="J356" s="6" t="s">
        <v>607</v>
      </c>
      <c r="K356" s="6" t="s">
        <v>497</v>
      </c>
      <c r="L356" s="4">
        <v>27</v>
      </c>
      <c r="R356" s="4">
        <v>1</v>
      </c>
      <c r="S356" s="4">
        <v>1</v>
      </c>
      <c r="T356" s="4">
        <v>1</v>
      </c>
      <c r="U356" s="4">
        <v>2</v>
      </c>
      <c r="W356" s="4">
        <v>1</v>
      </c>
      <c r="X356" s="4">
        <v>1</v>
      </c>
      <c r="Y356" s="4">
        <v>1</v>
      </c>
      <c r="Z356" s="4">
        <v>1</v>
      </c>
      <c r="AA356" s="26">
        <v>1</v>
      </c>
      <c r="AP356" s="5"/>
      <c r="AR356" s="4">
        <f t="shared" si="34"/>
        <v>10</v>
      </c>
      <c r="AS356" s="4">
        <f t="shared" si="35"/>
        <v>17</v>
      </c>
      <c r="AT356" s="32">
        <f t="shared" si="36"/>
        <v>414.8</v>
      </c>
    </row>
    <row r="357" customHeight="1" spans="1:46">
      <c r="A357" s="4">
        <v>356</v>
      </c>
      <c r="B357" s="4" t="s">
        <v>643</v>
      </c>
      <c r="C357" s="5">
        <v>18790398156</v>
      </c>
      <c r="D357" s="65">
        <v>46154</v>
      </c>
      <c r="E357" s="65">
        <v>46185</v>
      </c>
      <c r="F357" s="11">
        <v>488</v>
      </c>
      <c r="G357" s="11">
        <v>20</v>
      </c>
      <c r="H357" s="68">
        <f t="shared" si="38"/>
        <v>24.4</v>
      </c>
      <c r="I357" s="11" t="s">
        <v>240</v>
      </c>
      <c r="J357" s="6" t="s">
        <v>602</v>
      </c>
      <c r="L357" s="4">
        <v>20</v>
      </c>
      <c r="X357" s="4">
        <v>2</v>
      </c>
      <c r="Y357" s="4">
        <v>2</v>
      </c>
      <c r="AA357" s="26">
        <v>2</v>
      </c>
      <c r="AR357" s="11">
        <f t="shared" si="34"/>
        <v>6</v>
      </c>
      <c r="AS357" s="11">
        <f t="shared" si="35"/>
        <v>14</v>
      </c>
      <c r="AT357" s="81">
        <f t="shared" si="36"/>
        <v>341.6</v>
      </c>
    </row>
    <row r="358" customHeight="1" spans="1:46">
      <c r="A358" s="4">
        <v>357</v>
      </c>
      <c r="B358" s="4" t="s">
        <v>644</v>
      </c>
      <c r="C358" s="5">
        <v>18235629259</v>
      </c>
      <c r="D358" s="65">
        <v>46158</v>
      </c>
      <c r="E358" s="65">
        <v>46250</v>
      </c>
      <c r="F358" s="11">
        <v>788</v>
      </c>
      <c r="G358" s="11">
        <v>31</v>
      </c>
      <c r="H358" s="68">
        <f t="shared" ref="H358:H361" si="39">F358/G358</f>
        <v>25.4193548387097</v>
      </c>
      <c r="I358" s="6" t="s">
        <v>645</v>
      </c>
      <c r="J358" s="6" t="s">
        <v>392</v>
      </c>
      <c r="K358" s="6" t="s">
        <v>646</v>
      </c>
      <c r="L358" s="4">
        <v>39</v>
      </c>
      <c r="R358" s="4">
        <v>1</v>
      </c>
      <c r="S358" s="4">
        <v>1</v>
      </c>
      <c r="T358" s="4">
        <v>1</v>
      </c>
      <c r="U358" s="4">
        <v>1</v>
      </c>
      <c r="W358" s="4">
        <v>1</v>
      </c>
      <c r="X358" s="4">
        <v>1</v>
      </c>
      <c r="Y358" s="4">
        <v>1</v>
      </c>
      <c r="Z358" s="4">
        <v>2</v>
      </c>
      <c r="AA358" s="26">
        <v>2</v>
      </c>
      <c r="AP358" s="6"/>
      <c r="AR358" s="4">
        <f t="shared" si="34"/>
        <v>11</v>
      </c>
      <c r="AS358" s="4">
        <f t="shared" si="35"/>
        <v>28</v>
      </c>
      <c r="AT358" s="32">
        <f t="shared" si="36"/>
        <v>711.741935483872</v>
      </c>
    </row>
    <row r="359" customHeight="1" spans="1:46">
      <c r="A359" s="4">
        <v>358</v>
      </c>
      <c r="B359" s="4" t="s">
        <v>647</v>
      </c>
      <c r="C359" s="5">
        <v>13886124121</v>
      </c>
      <c r="D359" s="65">
        <v>46155</v>
      </c>
      <c r="E359" s="65">
        <v>46186</v>
      </c>
      <c r="F359" s="11">
        <v>488</v>
      </c>
      <c r="G359" s="11">
        <v>20</v>
      </c>
      <c r="H359" s="68">
        <f t="shared" si="39"/>
        <v>24.4</v>
      </c>
      <c r="I359" s="11" t="s">
        <v>240</v>
      </c>
      <c r="J359" s="6" t="s">
        <v>497</v>
      </c>
      <c r="L359" s="4">
        <v>20</v>
      </c>
      <c r="Y359" s="4">
        <v>1</v>
      </c>
      <c r="Z359" s="4">
        <v>1</v>
      </c>
      <c r="AR359" s="11">
        <f t="shared" si="34"/>
        <v>2</v>
      </c>
      <c r="AS359" s="11">
        <f t="shared" si="35"/>
        <v>18</v>
      </c>
      <c r="AT359" s="81">
        <f t="shared" si="36"/>
        <v>439.2</v>
      </c>
    </row>
    <row r="360" customHeight="1" spans="1:46">
      <c r="A360" s="4">
        <v>359</v>
      </c>
      <c r="B360" s="4" t="s">
        <v>648</v>
      </c>
      <c r="C360" s="5">
        <v>18171042217</v>
      </c>
      <c r="D360" s="65">
        <v>46155</v>
      </c>
      <c r="E360" s="65">
        <v>46186</v>
      </c>
      <c r="F360" s="11">
        <v>488</v>
      </c>
      <c r="G360" s="11">
        <v>20</v>
      </c>
      <c r="H360" s="68">
        <f t="shared" si="39"/>
        <v>24.4</v>
      </c>
      <c r="I360" s="11" t="s">
        <v>240</v>
      </c>
      <c r="J360" s="6" t="s">
        <v>497</v>
      </c>
      <c r="L360" s="4">
        <v>20</v>
      </c>
      <c r="Y360" s="4">
        <v>1</v>
      </c>
      <c r="Z360" s="4">
        <v>1</v>
      </c>
      <c r="AA360" s="26">
        <v>1</v>
      </c>
      <c r="AR360" s="11">
        <f t="shared" si="34"/>
        <v>3</v>
      </c>
      <c r="AS360" s="11">
        <f t="shared" si="35"/>
        <v>17</v>
      </c>
      <c r="AT360" s="81">
        <f t="shared" si="36"/>
        <v>414.8</v>
      </c>
    </row>
    <row r="361" customHeight="1" spans="1:46">
      <c r="A361" s="4">
        <v>360</v>
      </c>
      <c r="B361" s="4" t="s">
        <v>649</v>
      </c>
      <c r="C361" s="5">
        <v>13117055201</v>
      </c>
      <c r="D361" s="65">
        <v>46155</v>
      </c>
      <c r="E361" s="65">
        <v>46186</v>
      </c>
      <c r="F361" s="11">
        <v>488</v>
      </c>
      <c r="G361" s="11">
        <v>20</v>
      </c>
      <c r="H361" s="68">
        <f t="shared" si="39"/>
        <v>24.4</v>
      </c>
      <c r="I361" s="11" t="s">
        <v>240</v>
      </c>
      <c r="J361" s="6" t="s">
        <v>497</v>
      </c>
      <c r="L361" s="4">
        <v>20</v>
      </c>
      <c r="Y361" s="4">
        <v>1</v>
      </c>
      <c r="Z361" s="4">
        <v>1</v>
      </c>
      <c r="AA361" s="26">
        <v>1</v>
      </c>
      <c r="AR361" s="11">
        <f t="shared" si="34"/>
        <v>3</v>
      </c>
      <c r="AS361" s="11">
        <f t="shared" si="35"/>
        <v>17</v>
      </c>
      <c r="AT361" s="81">
        <f t="shared" si="36"/>
        <v>414.8</v>
      </c>
    </row>
    <row r="362" customHeight="1" spans="1:46">
      <c r="A362" s="4">
        <v>361</v>
      </c>
      <c r="B362" s="6" t="s">
        <v>650</v>
      </c>
      <c r="C362" s="5">
        <v>18007111197</v>
      </c>
      <c r="D362" s="65">
        <v>46160</v>
      </c>
      <c r="E362" s="65">
        <v>46252</v>
      </c>
      <c r="F362" s="4">
        <v>788</v>
      </c>
      <c r="G362" s="4">
        <v>31</v>
      </c>
      <c r="H362" s="66">
        <f t="shared" ref="H362:H375" si="40">F362/G362</f>
        <v>25.4193548387097</v>
      </c>
      <c r="I362" s="6" t="s">
        <v>645</v>
      </c>
      <c r="J362" s="6" t="s">
        <v>651</v>
      </c>
      <c r="K362" s="6" t="s">
        <v>652</v>
      </c>
      <c r="L362" s="75">
        <v>35</v>
      </c>
      <c r="S362" s="4">
        <v>1</v>
      </c>
      <c r="T362" s="4">
        <v>1</v>
      </c>
      <c r="W362" s="4">
        <v>1</v>
      </c>
      <c r="X362" s="4">
        <v>1</v>
      </c>
      <c r="Y362" s="4">
        <v>1</v>
      </c>
      <c r="Z362" s="4">
        <v>1</v>
      </c>
      <c r="AA362" s="26">
        <v>1</v>
      </c>
      <c r="AP362" s="6"/>
      <c r="AR362" s="4">
        <f t="shared" si="34"/>
        <v>7</v>
      </c>
      <c r="AS362" s="4">
        <f t="shared" si="35"/>
        <v>28</v>
      </c>
      <c r="AT362" s="32">
        <f t="shared" si="36"/>
        <v>711.741935483872</v>
      </c>
    </row>
    <row r="363" customHeight="1" spans="1:46">
      <c r="A363" s="4">
        <v>362</v>
      </c>
      <c r="B363" s="6" t="s">
        <v>653</v>
      </c>
      <c r="C363" s="5">
        <v>15896341475</v>
      </c>
      <c r="D363" s="65">
        <v>46157</v>
      </c>
      <c r="E363" s="65">
        <v>46188</v>
      </c>
      <c r="F363" s="11">
        <v>488</v>
      </c>
      <c r="G363" s="11">
        <v>20</v>
      </c>
      <c r="H363" s="68">
        <f t="shared" si="40"/>
        <v>24.4</v>
      </c>
      <c r="I363" s="6" t="s">
        <v>240</v>
      </c>
      <c r="J363" s="6" t="s">
        <v>390</v>
      </c>
      <c r="K363" s="6" t="s">
        <v>354</v>
      </c>
      <c r="L363" s="4">
        <v>37</v>
      </c>
      <c r="R363" s="4">
        <v>2</v>
      </c>
      <c r="S363" s="4">
        <v>1</v>
      </c>
      <c r="T363" s="4">
        <v>2</v>
      </c>
      <c r="U363" s="4">
        <v>2</v>
      </c>
      <c r="W363" s="4">
        <v>1</v>
      </c>
      <c r="X363" s="4">
        <v>2</v>
      </c>
      <c r="Y363" s="4">
        <v>2</v>
      </c>
      <c r="Z363" s="4">
        <v>3</v>
      </c>
      <c r="AA363" s="26">
        <v>2</v>
      </c>
      <c r="AP363" s="5"/>
      <c r="AQ363" s="5"/>
      <c r="AR363" s="4">
        <f t="shared" si="34"/>
        <v>17</v>
      </c>
      <c r="AS363" s="4">
        <f t="shared" si="35"/>
        <v>20</v>
      </c>
      <c r="AT363" s="32">
        <f t="shared" si="36"/>
        <v>488</v>
      </c>
    </row>
    <row r="364" customHeight="1" spans="1:46">
      <c r="A364" s="4">
        <v>363</v>
      </c>
      <c r="B364" s="4" t="s">
        <v>654</v>
      </c>
      <c r="C364" s="5">
        <v>15106712689</v>
      </c>
      <c r="D364" s="65">
        <v>46155</v>
      </c>
      <c r="E364" s="65">
        <v>46186</v>
      </c>
      <c r="F364" s="11">
        <v>488</v>
      </c>
      <c r="G364" s="11">
        <v>20</v>
      </c>
      <c r="H364" s="68">
        <f t="shared" si="40"/>
        <v>24.4</v>
      </c>
      <c r="I364" s="11" t="s">
        <v>240</v>
      </c>
      <c r="J364" s="6" t="s">
        <v>497</v>
      </c>
      <c r="L364" s="4">
        <v>20</v>
      </c>
      <c r="Y364" s="4">
        <v>1</v>
      </c>
      <c r="Z364" s="4">
        <v>1</v>
      </c>
      <c r="AA364" s="26">
        <v>1</v>
      </c>
      <c r="AR364" s="11">
        <f t="shared" si="34"/>
        <v>3</v>
      </c>
      <c r="AS364" s="11">
        <f t="shared" si="35"/>
        <v>17</v>
      </c>
      <c r="AT364" s="81">
        <f t="shared" si="36"/>
        <v>414.8</v>
      </c>
    </row>
    <row r="365" customHeight="1" spans="1:46">
      <c r="A365" s="4">
        <v>364</v>
      </c>
      <c r="B365" s="4" t="s">
        <v>655</v>
      </c>
      <c r="C365" s="5">
        <v>13979402794</v>
      </c>
      <c r="D365" s="65">
        <v>46155</v>
      </c>
      <c r="E365" s="65">
        <v>46186</v>
      </c>
      <c r="F365" s="11">
        <v>488</v>
      </c>
      <c r="G365" s="11">
        <v>20</v>
      </c>
      <c r="H365" s="68">
        <f t="shared" si="40"/>
        <v>24.4</v>
      </c>
      <c r="I365" s="11" t="s">
        <v>240</v>
      </c>
      <c r="J365" s="6" t="s">
        <v>497</v>
      </c>
      <c r="L365" s="4">
        <v>20</v>
      </c>
      <c r="Y365" s="4">
        <v>2</v>
      </c>
      <c r="Z365" s="4">
        <v>2</v>
      </c>
      <c r="AA365" s="26">
        <v>2</v>
      </c>
      <c r="AR365" s="11">
        <f t="shared" si="34"/>
        <v>6</v>
      </c>
      <c r="AS365" s="11">
        <f t="shared" si="35"/>
        <v>14</v>
      </c>
      <c r="AT365" s="81">
        <f t="shared" si="36"/>
        <v>341.6</v>
      </c>
    </row>
    <row r="366" customHeight="1" spans="1:46">
      <c r="A366" s="4">
        <v>365</v>
      </c>
      <c r="B366" s="4" t="s">
        <v>656</v>
      </c>
      <c r="C366" s="5">
        <v>13117117300</v>
      </c>
      <c r="D366" s="65">
        <v>46155</v>
      </c>
      <c r="E366" s="65">
        <v>46186</v>
      </c>
      <c r="F366" s="11">
        <v>488</v>
      </c>
      <c r="G366" s="11">
        <v>20</v>
      </c>
      <c r="H366" s="68">
        <f t="shared" si="40"/>
        <v>24.4</v>
      </c>
      <c r="I366" s="11" t="s">
        <v>240</v>
      </c>
      <c r="J366" s="6" t="s">
        <v>497</v>
      </c>
      <c r="L366" s="4">
        <v>20</v>
      </c>
      <c r="Y366" s="4">
        <v>2</v>
      </c>
      <c r="AA366" s="26">
        <v>2</v>
      </c>
      <c r="AR366" s="11">
        <f t="shared" si="34"/>
        <v>4</v>
      </c>
      <c r="AS366" s="11">
        <f t="shared" si="35"/>
        <v>16</v>
      </c>
      <c r="AT366" s="81">
        <f t="shared" si="36"/>
        <v>390.4</v>
      </c>
    </row>
    <row r="367" customHeight="1" spans="1:46">
      <c r="A367" s="4">
        <v>366</v>
      </c>
      <c r="B367" s="4" t="s">
        <v>657</v>
      </c>
      <c r="C367" s="5">
        <v>17386176291</v>
      </c>
      <c r="D367" s="65">
        <v>46155</v>
      </c>
      <c r="E367" s="65">
        <v>46186</v>
      </c>
      <c r="F367" s="11">
        <v>488</v>
      </c>
      <c r="G367" s="11">
        <v>20</v>
      </c>
      <c r="H367" s="68">
        <f t="shared" si="40"/>
        <v>24.4</v>
      </c>
      <c r="I367" s="11" t="s">
        <v>240</v>
      </c>
      <c r="J367" s="6" t="s">
        <v>497</v>
      </c>
      <c r="L367" s="4">
        <v>20</v>
      </c>
      <c r="Y367" s="4">
        <v>2</v>
      </c>
      <c r="Z367" s="4">
        <v>3</v>
      </c>
      <c r="AA367" s="26">
        <v>1</v>
      </c>
      <c r="AR367" s="11">
        <f t="shared" si="34"/>
        <v>6</v>
      </c>
      <c r="AS367" s="11">
        <f t="shared" si="35"/>
        <v>14</v>
      </c>
      <c r="AT367" s="81">
        <f t="shared" si="36"/>
        <v>341.6</v>
      </c>
    </row>
    <row r="368" customHeight="1" spans="1:46">
      <c r="A368" s="4">
        <v>367</v>
      </c>
      <c r="B368" s="4" t="s">
        <v>658</v>
      </c>
      <c r="C368" s="5">
        <v>13545962105</v>
      </c>
      <c r="D368" s="65">
        <v>46155</v>
      </c>
      <c r="E368" s="65">
        <v>46186</v>
      </c>
      <c r="F368" s="4">
        <v>299</v>
      </c>
      <c r="G368" s="4">
        <v>9</v>
      </c>
      <c r="H368" s="68">
        <f t="shared" si="40"/>
        <v>33.2222222222222</v>
      </c>
      <c r="I368" s="4" t="s">
        <v>139</v>
      </c>
      <c r="J368" s="6" t="s">
        <v>659</v>
      </c>
      <c r="L368" s="4">
        <v>9</v>
      </c>
      <c r="Y368" s="4">
        <v>1</v>
      </c>
      <c r="Z368" s="4">
        <v>1</v>
      </c>
      <c r="AA368" s="26">
        <v>1</v>
      </c>
      <c r="AR368" s="11">
        <f t="shared" si="34"/>
        <v>3</v>
      </c>
      <c r="AS368" s="11">
        <f t="shared" si="35"/>
        <v>6</v>
      </c>
      <c r="AT368" s="81">
        <f t="shared" si="36"/>
        <v>199.333333333333</v>
      </c>
    </row>
    <row r="369" customHeight="1" spans="1:46">
      <c r="A369" s="4">
        <v>368</v>
      </c>
      <c r="B369" s="4" t="s">
        <v>660</v>
      </c>
      <c r="C369" s="5">
        <v>18976473563</v>
      </c>
      <c r="D369" s="65">
        <v>46155</v>
      </c>
      <c r="E369" s="65">
        <v>46186</v>
      </c>
      <c r="F369" s="11">
        <v>488</v>
      </c>
      <c r="G369" s="11">
        <v>20</v>
      </c>
      <c r="H369" s="68">
        <f t="shared" si="40"/>
        <v>24.4</v>
      </c>
      <c r="I369" s="11" t="s">
        <v>240</v>
      </c>
      <c r="J369" s="6" t="s">
        <v>497</v>
      </c>
      <c r="K369" s="6" t="s">
        <v>497</v>
      </c>
      <c r="L369" s="4">
        <v>32</v>
      </c>
      <c r="R369" s="4">
        <v>1</v>
      </c>
      <c r="S369" s="4">
        <v>2</v>
      </c>
      <c r="U369" s="4">
        <v>2</v>
      </c>
      <c r="W369" s="4">
        <v>1</v>
      </c>
      <c r="X369" s="4">
        <v>2</v>
      </c>
      <c r="AA369" s="26">
        <v>2</v>
      </c>
      <c r="AP369" s="6"/>
      <c r="AR369" s="4">
        <f t="shared" si="34"/>
        <v>10</v>
      </c>
      <c r="AS369" s="4">
        <f t="shared" si="35"/>
        <v>22</v>
      </c>
      <c r="AT369" s="32">
        <f t="shared" si="36"/>
        <v>536.8</v>
      </c>
    </row>
    <row r="370" s="4" customFormat="1" customHeight="1" spans="1:46">
      <c r="A370" s="4">
        <v>369</v>
      </c>
      <c r="B370" s="4" t="s">
        <v>661</v>
      </c>
      <c r="C370" s="5">
        <v>13260508102</v>
      </c>
      <c r="D370" s="65">
        <v>46154</v>
      </c>
      <c r="E370" s="65">
        <v>46185</v>
      </c>
      <c r="F370" s="11">
        <v>488</v>
      </c>
      <c r="G370" s="11">
        <v>20</v>
      </c>
      <c r="H370" s="68">
        <f t="shared" si="40"/>
        <v>24.4</v>
      </c>
      <c r="I370" s="11" t="s">
        <v>240</v>
      </c>
      <c r="J370" s="6" t="s">
        <v>602</v>
      </c>
      <c r="K370" s="56" t="s">
        <v>602</v>
      </c>
      <c r="L370" s="4">
        <v>26</v>
      </c>
      <c r="M370" s="4"/>
      <c r="N370" s="4"/>
      <c r="O370" s="4"/>
      <c r="P370" s="4"/>
      <c r="Q370" s="4"/>
      <c r="R370" s="4">
        <v>2</v>
      </c>
      <c r="S370" s="4"/>
      <c r="T370" s="4"/>
      <c r="U370" s="4"/>
      <c r="V370" s="4"/>
      <c r="W370" s="4">
        <v>2</v>
      </c>
      <c r="X370" s="4">
        <v>2</v>
      </c>
      <c r="Y370" s="4">
        <v>2</v>
      </c>
      <c r="Z370" s="4">
        <v>2</v>
      </c>
      <c r="AA370" s="26">
        <v>2</v>
      </c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56"/>
      <c r="AQ370" s="4"/>
      <c r="AR370" s="4">
        <f t="shared" si="34"/>
        <v>12</v>
      </c>
      <c r="AS370" s="4">
        <f t="shared" si="35"/>
        <v>14</v>
      </c>
      <c r="AT370" s="32">
        <f t="shared" si="36"/>
        <v>341.6</v>
      </c>
    </row>
    <row r="371" customHeight="1" spans="1:46">
      <c r="A371" s="4">
        <v>370</v>
      </c>
      <c r="B371" s="4" t="s">
        <v>662</v>
      </c>
      <c r="C371" s="5">
        <v>19071182436</v>
      </c>
      <c r="D371" s="65">
        <v>46160</v>
      </c>
      <c r="E371" s="65">
        <v>46191</v>
      </c>
      <c r="F371" s="4">
        <v>488</v>
      </c>
      <c r="G371" s="4">
        <v>20</v>
      </c>
      <c r="H371" s="66">
        <f t="shared" si="40"/>
        <v>24.4</v>
      </c>
      <c r="I371" s="56" t="s">
        <v>240</v>
      </c>
      <c r="J371" s="56" t="s">
        <v>641</v>
      </c>
      <c r="L371" s="4">
        <v>20</v>
      </c>
      <c r="AR371" s="11">
        <f t="shared" si="34"/>
        <v>0</v>
      </c>
      <c r="AS371" s="11">
        <f t="shared" si="35"/>
        <v>20</v>
      </c>
      <c r="AT371" s="81">
        <f t="shared" si="36"/>
        <v>488</v>
      </c>
    </row>
    <row r="372" customHeight="1" spans="1:46">
      <c r="A372" s="4">
        <v>371</v>
      </c>
      <c r="B372" s="4" t="s">
        <v>663</v>
      </c>
      <c r="C372" s="5">
        <v>13277229058</v>
      </c>
      <c r="D372" s="65">
        <v>46156</v>
      </c>
      <c r="E372" s="65">
        <v>46187</v>
      </c>
      <c r="F372" s="4">
        <v>488</v>
      </c>
      <c r="G372" s="4">
        <v>20</v>
      </c>
      <c r="H372" s="66">
        <f t="shared" si="40"/>
        <v>24.4</v>
      </c>
      <c r="I372" s="56" t="s">
        <v>240</v>
      </c>
      <c r="J372" s="56" t="s">
        <v>605</v>
      </c>
      <c r="L372" s="4">
        <v>20</v>
      </c>
      <c r="Z372" s="4">
        <v>1</v>
      </c>
      <c r="AA372" s="26">
        <v>1</v>
      </c>
      <c r="AR372" s="11">
        <f t="shared" si="34"/>
        <v>2</v>
      </c>
      <c r="AS372" s="11">
        <f t="shared" si="35"/>
        <v>18</v>
      </c>
      <c r="AT372" s="81">
        <f t="shared" si="36"/>
        <v>439.2</v>
      </c>
    </row>
    <row r="373" customHeight="1" spans="1:46">
      <c r="A373" s="4">
        <v>372</v>
      </c>
      <c r="B373" s="4" t="s">
        <v>664</v>
      </c>
      <c r="C373" s="5">
        <v>13476091185</v>
      </c>
      <c r="D373" s="65">
        <v>46156</v>
      </c>
      <c r="E373" s="65">
        <v>46187</v>
      </c>
      <c r="F373" s="4">
        <v>488</v>
      </c>
      <c r="G373" s="4">
        <v>20</v>
      </c>
      <c r="H373" s="66">
        <f t="shared" si="40"/>
        <v>24.4</v>
      </c>
      <c r="I373" s="56" t="s">
        <v>240</v>
      </c>
      <c r="J373" s="56" t="s">
        <v>605</v>
      </c>
      <c r="L373" s="4">
        <v>21</v>
      </c>
      <c r="Z373" s="4">
        <v>1</v>
      </c>
      <c r="AA373" s="26">
        <v>2</v>
      </c>
      <c r="AR373" s="11">
        <f t="shared" si="34"/>
        <v>3</v>
      </c>
      <c r="AS373" s="11">
        <f t="shared" si="35"/>
        <v>18</v>
      </c>
      <c r="AT373" s="81">
        <f t="shared" si="36"/>
        <v>439.2</v>
      </c>
    </row>
    <row r="374" customHeight="1" spans="1:46">
      <c r="A374" s="4">
        <v>373</v>
      </c>
      <c r="B374" s="4" t="s">
        <v>665</v>
      </c>
      <c r="C374" s="5">
        <v>15190123426</v>
      </c>
      <c r="D374" s="65">
        <v>46156</v>
      </c>
      <c r="E374" s="65">
        <v>46187</v>
      </c>
      <c r="F374" s="4">
        <v>488</v>
      </c>
      <c r="G374" s="4">
        <v>20</v>
      </c>
      <c r="H374" s="66">
        <f t="shared" si="40"/>
        <v>24.4</v>
      </c>
      <c r="I374" s="56" t="s">
        <v>240</v>
      </c>
      <c r="J374" s="56" t="s">
        <v>605</v>
      </c>
      <c r="L374" s="4">
        <v>20</v>
      </c>
      <c r="Z374" s="4">
        <v>5</v>
      </c>
      <c r="AA374" s="26">
        <v>4</v>
      </c>
      <c r="AR374" s="11">
        <f t="shared" si="34"/>
        <v>9</v>
      </c>
      <c r="AS374" s="11">
        <f t="shared" si="35"/>
        <v>11</v>
      </c>
      <c r="AT374" s="81">
        <f t="shared" si="36"/>
        <v>268.4</v>
      </c>
    </row>
    <row r="375" customHeight="1" spans="1:46">
      <c r="A375" s="4">
        <v>374</v>
      </c>
      <c r="B375" s="4" t="s">
        <v>666</v>
      </c>
      <c r="C375" s="5">
        <v>18573031066</v>
      </c>
      <c r="D375" s="65">
        <v>46157</v>
      </c>
      <c r="E375" s="65">
        <v>46188</v>
      </c>
      <c r="F375" s="4">
        <v>488</v>
      </c>
      <c r="G375" s="4">
        <v>20</v>
      </c>
      <c r="H375" s="66">
        <f t="shared" si="40"/>
        <v>24.4</v>
      </c>
      <c r="I375" s="56" t="s">
        <v>240</v>
      </c>
      <c r="J375" s="56" t="s">
        <v>605</v>
      </c>
      <c r="L375" s="4">
        <v>20</v>
      </c>
      <c r="Z375" s="4">
        <v>1</v>
      </c>
      <c r="AA375" s="26">
        <v>2</v>
      </c>
      <c r="AR375" s="11">
        <f t="shared" si="34"/>
        <v>3</v>
      </c>
      <c r="AS375" s="11">
        <f t="shared" si="35"/>
        <v>17</v>
      </c>
      <c r="AT375" s="81">
        <f t="shared" si="36"/>
        <v>414.8</v>
      </c>
    </row>
    <row r="376" customHeight="1" spans="1:46">
      <c r="A376" s="4">
        <v>375</v>
      </c>
      <c r="B376" s="4" t="s">
        <v>667</v>
      </c>
      <c r="C376" s="5">
        <v>18427226626</v>
      </c>
      <c r="D376" s="65">
        <v>46182</v>
      </c>
      <c r="E376" s="65">
        <v>46212</v>
      </c>
      <c r="F376" s="4">
        <v>488</v>
      </c>
      <c r="G376" s="4">
        <v>20</v>
      </c>
      <c r="H376" s="66">
        <f t="shared" ref="H376:H380" si="41">F376/G376</f>
        <v>24.4</v>
      </c>
      <c r="I376" s="6" t="s">
        <v>240</v>
      </c>
      <c r="J376" s="6" t="s">
        <v>578</v>
      </c>
      <c r="L376" s="4">
        <v>40</v>
      </c>
      <c r="U376" s="4">
        <v>1</v>
      </c>
      <c r="X376" s="4">
        <v>1</v>
      </c>
      <c r="Y376" s="4">
        <v>1</v>
      </c>
      <c r="Z376" s="4">
        <v>1</v>
      </c>
      <c r="AA376" s="26">
        <v>2</v>
      </c>
      <c r="AR376" s="11">
        <f t="shared" ref="AR376:AR381" si="42">SUM(M376:AQ376)</f>
        <v>6</v>
      </c>
      <c r="AS376" s="11">
        <f t="shared" si="35"/>
        <v>34</v>
      </c>
      <c r="AT376" s="81">
        <f t="shared" si="36"/>
        <v>829.6</v>
      </c>
    </row>
    <row r="377" customHeight="1" spans="1:46">
      <c r="A377" s="4">
        <v>376</v>
      </c>
      <c r="B377" s="4" t="s">
        <v>668</v>
      </c>
      <c r="C377" s="5">
        <v>13638641850</v>
      </c>
      <c r="D377" s="65">
        <v>46182</v>
      </c>
      <c r="E377" s="65">
        <v>46212</v>
      </c>
      <c r="F377" s="4">
        <v>488</v>
      </c>
      <c r="G377" s="4">
        <v>20</v>
      </c>
      <c r="H377" s="66">
        <f t="shared" si="41"/>
        <v>24.4</v>
      </c>
      <c r="I377" s="6" t="s">
        <v>240</v>
      </c>
      <c r="J377" s="6" t="s">
        <v>578</v>
      </c>
      <c r="L377" s="4">
        <v>29</v>
      </c>
      <c r="R377" s="4">
        <v>1</v>
      </c>
      <c r="S377" s="4">
        <v>1</v>
      </c>
      <c r="T377" s="4">
        <v>1</v>
      </c>
      <c r="W377" s="4">
        <v>1</v>
      </c>
      <c r="X377" s="4">
        <v>1</v>
      </c>
      <c r="Y377" s="4">
        <v>1</v>
      </c>
      <c r="Z377" s="4">
        <v>1</v>
      </c>
      <c r="AA377" s="26">
        <v>2</v>
      </c>
      <c r="AR377" s="11">
        <f t="shared" si="42"/>
        <v>9</v>
      </c>
      <c r="AS377" s="11">
        <f t="shared" si="35"/>
        <v>20</v>
      </c>
      <c r="AT377" s="81">
        <f t="shared" si="36"/>
        <v>488</v>
      </c>
    </row>
    <row r="378" customHeight="1" spans="1:46">
      <c r="A378" s="4">
        <v>377</v>
      </c>
      <c r="B378" s="4" t="s">
        <v>669</v>
      </c>
      <c r="C378" s="5">
        <v>18795175238</v>
      </c>
      <c r="D378" s="65">
        <v>46157</v>
      </c>
      <c r="E378" s="65">
        <v>46188</v>
      </c>
      <c r="F378" s="4">
        <v>488</v>
      </c>
      <c r="G378" s="4">
        <v>20</v>
      </c>
      <c r="H378" s="66">
        <f t="shared" si="41"/>
        <v>24.4</v>
      </c>
      <c r="I378" s="56" t="s">
        <v>240</v>
      </c>
      <c r="J378" s="56" t="s">
        <v>605</v>
      </c>
      <c r="L378" s="4">
        <v>20</v>
      </c>
      <c r="AA378" s="26">
        <v>1</v>
      </c>
      <c r="AR378" s="11">
        <f t="shared" si="42"/>
        <v>1</v>
      </c>
      <c r="AS378" s="11">
        <f t="shared" si="35"/>
        <v>19</v>
      </c>
      <c r="AT378" s="81">
        <f t="shared" si="36"/>
        <v>463.6</v>
      </c>
    </row>
    <row r="379" customHeight="1" spans="1:46">
      <c r="A379" s="4">
        <v>378</v>
      </c>
      <c r="B379" s="4" t="s">
        <v>670</v>
      </c>
      <c r="C379" s="5">
        <v>15623569776</v>
      </c>
      <c r="D379" s="65">
        <v>46157</v>
      </c>
      <c r="E379" s="65">
        <v>46188</v>
      </c>
      <c r="F379" s="4">
        <v>488</v>
      </c>
      <c r="G379" s="4">
        <v>20</v>
      </c>
      <c r="H379" s="66">
        <f t="shared" si="41"/>
        <v>24.4</v>
      </c>
      <c r="I379" s="56" t="s">
        <v>240</v>
      </c>
      <c r="J379" s="56" t="s">
        <v>605</v>
      </c>
      <c r="L379" s="4">
        <v>20</v>
      </c>
      <c r="AA379" s="26">
        <v>1</v>
      </c>
      <c r="AR379" s="11">
        <f t="shared" si="42"/>
        <v>1</v>
      </c>
      <c r="AS379" s="11">
        <f t="shared" si="35"/>
        <v>19</v>
      </c>
      <c r="AT379" s="81">
        <f t="shared" si="36"/>
        <v>463.6</v>
      </c>
    </row>
    <row r="380" s="4" customFormat="1" customHeight="1" spans="1:46">
      <c r="A380" s="4">
        <v>379</v>
      </c>
      <c r="B380" s="56" t="s">
        <v>671</v>
      </c>
      <c r="C380" s="5">
        <v>13797008145</v>
      </c>
      <c r="D380" s="65">
        <v>46157</v>
      </c>
      <c r="E380" s="65">
        <v>46188</v>
      </c>
      <c r="F380" s="4">
        <v>488</v>
      </c>
      <c r="G380" s="4">
        <v>20</v>
      </c>
      <c r="H380" s="66">
        <f t="shared" si="41"/>
        <v>24.4</v>
      </c>
      <c r="I380" s="56" t="s">
        <v>240</v>
      </c>
      <c r="J380" s="56" t="s">
        <v>259</v>
      </c>
      <c r="K380" s="56" t="s">
        <v>605</v>
      </c>
      <c r="L380" s="4">
        <v>23</v>
      </c>
      <c r="M380" s="4"/>
      <c r="N380" s="4"/>
      <c r="O380" s="4"/>
      <c r="P380" s="4"/>
      <c r="Q380" s="4"/>
      <c r="R380" s="4">
        <v>1</v>
      </c>
      <c r="S380" s="4"/>
      <c r="T380" s="4"/>
      <c r="U380" s="4"/>
      <c r="V380" s="4"/>
      <c r="W380" s="4"/>
      <c r="X380" s="4">
        <v>1</v>
      </c>
      <c r="Y380" s="4">
        <v>1</v>
      </c>
      <c r="Z380" s="4"/>
      <c r="AA380" s="26">
        <v>1</v>
      </c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5"/>
      <c r="AQ380" s="4"/>
      <c r="AR380" s="4">
        <f t="shared" si="42"/>
        <v>4</v>
      </c>
      <c r="AS380" s="4">
        <f t="shared" si="35"/>
        <v>19</v>
      </c>
      <c r="AT380" s="32">
        <f t="shared" si="36"/>
        <v>463.6</v>
      </c>
    </row>
    <row r="381" customHeight="1" spans="1:46">
      <c r="A381" s="4">
        <v>380</v>
      </c>
      <c r="B381" s="6" t="s">
        <v>672</v>
      </c>
      <c r="C381" s="5">
        <v>13296699513</v>
      </c>
      <c r="D381" s="65">
        <v>46157</v>
      </c>
      <c r="E381" s="65">
        <v>46249</v>
      </c>
      <c r="F381" s="11">
        <v>788</v>
      </c>
      <c r="G381" s="11">
        <v>32</v>
      </c>
      <c r="H381" s="68">
        <f t="shared" ref="H381:H385" si="43">F381/G381</f>
        <v>24.625</v>
      </c>
      <c r="I381" s="11" t="s">
        <v>279</v>
      </c>
      <c r="J381" s="6" t="s">
        <v>336</v>
      </c>
      <c r="K381" s="56" t="s">
        <v>673</v>
      </c>
      <c r="L381" s="4">
        <v>39</v>
      </c>
      <c r="S381" s="4">
        <v>1</v>
      </c>
      <c r="U381" s="4">
        <v>1</v>
      </c>
      <c r="W381" s="4">
        <v>1</v>
      </c>
      <c r="X381" s="4">
        <v>1</v>
      </c>
      <c r="Z381" s="4">
        <v>2</v>
      </c>
      <c r="AP381" s="6"/>
      <c r="AR381" s="4">
        <f t="shared" si="42"/>
        <v>6</v>
      </c>
      <c r="AS381" s="4">
        <f>L381-AR381</f>
        <v>33</v>
      </c>
      <c r="AT381" s="32">
        <f>AS381*H381</f>
        <v>812.625</v>
      </c>
    </row>
    <row r="382" customHeight="1" spans="1:46">
      <c r="A382" s="4">
        <v>381</v>
      </c>
      <c r="B382" s="4" t="s">
        <v>674</v>
      </c>
      <c r="C382" s="5">
        <v>13027165528</v>
      </c>
      <c r="D382" s="65">
        <v>46157</v>
      </c>
      <c r="E382" s="65">
        <v>46188</v>
      </c>
      <c r="F382" s="4">
        <v>488</v>
      </c>
      <c r="G382" s="4">
        <v>20</v>
      </c>
      <c r="H382" s="66">
        <f t="shared" si="43"/>
        <v>24.4</v>
      </c>
      <c r="I382" s="56" t="s">
        <v>240</v>
      </c>
      <c r="J382" s="56" t="s">
        <v>605</v>
      </c>
      <c r="L382" s="4">
        <v>20</v>
      </c>
      <c r="AA382" s="26">
        <v>1</v>
      </c>
      <c r="AR382" s="11">
        <f t="shared" ref="AR364:AR399" si="44">SUM(M382:AQ382)</f>
        <v>1</v>
      </c>
      <c r="AS382" s="11">
        <f t="shared" ref="AS364:AS399" si="45">L382-AR382</f>
        <v>19</v>
      </c>
      <c r="AT382" s="81">
        <f t="shared" ref="AT364:AT399" si="46">AS382*H382</f>
        <v>463.6</v>
      </c>
    </row>
    <row r="383" customHeight="1" spans="1:46">
      <c r="A383" s="4">
        <v>382</v>
      </c>
      <c r="B383" s="4" t="s">
        <v>675</v>
      </c>
      <c r="C383" s="5">
        <v>15535398255</v>
      </c>
      <c r="D383" s="65">
        <v>46157</v>
      </c>
      <c r="E383" s="65">
        <v>46188</v>
      </c>
      <c r="F383" s="4">
        <v>488</v>
      </c>
      <c r="G383" s="4">
        <v>20</v>
      </c>
      <c r="H383" s="66">
        <f t="shared" si="43"/>
        <v>24.4</v>
      </c>
      <c r="I383" s="56" t="s">
        <v>240</v>
      </c>
      <c r="J383" s="56" t="s">
        <v>605</v>
      </c>
      <c r="L383" s="4">
        <v>20</v>
      </c>
      <c r="AR383" s="11">
        <f t="shared" si="44"/>
        <v>0</v>
      </c>
      <c r="AS383" s="11">
        <f t="shared" si="45"/>
        <v>20</v>
      </c>
      <c r="AT383" s="81">
        <f t="shared" si="46"/>
        <v>488</v>
      </c>
    </row>
    <row r="384" customHeight="1" spans="1:46">
      <c r="A384" s="4">
        <v>383</v>
      </c>
      <c r="B384" s="4" t="s">
        <v>676</v>
      </c>
      <c r="C384" s="5">
        <v>15976012856</v>
      </c>
      <c r="D384" s="65">
        <v>46157</v>
      </c>
      <c r="E384" s="65">
        <v>46188</v>
      </c>
      <c r="F384" s="4">
        <v>488</v>
      </c>
      <c r="G384" s="4">
        <v>20</v>
      </c>
      <c r="H384" s="66">
        <f t="shared" si="43"/>
        <v>24.4</v>
      </c>
      <c r="I384" s="56" t="s">
        <v>240</v>
      </c>
      <c r="J384" s="56" t="s">
        <v>605</v>
      </c>
      <c r="L384" s="4">
        <v>20</v>
      </c>
      <c r="AR384" s="11">
        <f t="shared" si="44"/>
        <v>0</v>
      </c>
      <c r="AS384" s="11">
        <f t="shared" si="45"/>
        <v>20</v>
      </c>
      <c r="AT384" s="81">
        <f t="shared" si="46"/>
        <v>488</v>
      </c>
    </row>
    <row r="385" customHeight="1" spans="1:46">
      <c r="A385" s="4">
        <v>384</v>
      </c>
      <c r="B385" s="4" t="s">
        <v>677</v>
      </c>
      <c r="C385" s="5">
        <v>13520957986</v>
      </c>
      <c r="D385" s="65">
        <v>46158</v>
      </c>
      <c r="E385" s="65">
        <v>46189</v>
      </c>
      <c r="F385" s="4">
        <v>488</v>
      </c>
      <c r="G385" s="4">
        <v>20</v>
      </c>
      <c r="H385" s="66">
        <f t="shared" si="43"/>
        <v>24.4</v>
      </c>
      <c r="I385" s="56" t="s">
        <v>240</v>
      </c>
      <c r="J385" s="56" t="s">
        <v>678</v>
      </c>
      <c r="L385" s="4">
        <v>20</v>
      </c>
      <c r="AR385" s="11">
        <f t="shared" si="44"/>
        <v>0</v>
      </c>
      <c r="AS385" s="11">
        <f t="shared" si="45"/>
        <v>20</v>
      </c>
      <c r="AT385" s="81">
        <f t="shared" si="46"/>
        <v>488</v>
      </c>
    </row>
    <row r="386" customHeight="1" spans="1:46">
      <c r="A386" s="4">
        <v>385</v>
      </c>
      <c r="AR386" s="11">
        <f t="shared" si="44"/>
        <v>0</v>
      </c>
      <c r="AS386" s="11">
        <f t="shared" si="45"/>
        <v>0</v>
      </c>
      <c r="AT386" s="81">
        <f t="shared" si="46"/>
        <v>0</v>
      </c>
    </row>
    <row r="387" customHeight="1" spans="1:46">
      <c r="A387" s="4">
        <v>386</v>
      </c>
      <c r="AR387" s="11">
        <f t="shared" si="44"/>
        <v>0</v>
      </c>
      <c r="AS387" s="11">
        <f t="shared" si="45"/>
        <v>0</v>
      </c>
      <c r="AT387" s="81">
        <f t="shared" si="46"/>
        <v>0</v>
      </c>
    </row>
    <row r="388" customHeight="1" spans="1:46">
      <c r="A388" s="4">
        <v>387</v>
      </c>
      <c r="AR388" s="11">
        <f t="shared" si="44"/>
        <v>0</v>
      </c>
      <c r="AS388" s="11">
        <f t="shared" si="45"/>
        <v>0</v>
      </c>
      <c r="AT388" s="81">
        <f t="shared" si="46"/>
        <v>0</v>
      </c>
    </row>
    <row r="389" customHeight="1" spans="1:46">
      <c r="A389" s="4">
        <v>388</v>
      </c>
      <c r="AR389" s="11">
        <f t="shared" si="44"/>
        <v>0</v>
      </c>
      <c r="AS389" s="11">
        <f t="shared" si="45"/>
        <v>0</v>
      </c>
      <c r="AT389" s="81">
        <f t="shared" si="46"/>
        <v>0</v>
      </c>
    </row>
    <row r="390" customHeight="1" spans="1:46">
      <c r="A390" s="4">
        <v>389</v>
      </c>
      <c r="AR390" s="11">
        <f t="shared" si="44"/>
        <v>0</v>
      </c>
      <c r="AS390" s="11">
        <f t="shared" si="45"/>
        <v>0</v>
      </c>
      <c r="AT390" s="81">
        <f t="shared" si="46"/>
        <v>0</v>
      </c>
    </row>
    <row r="391" customHeight="1" spans="1:46">
      <c r="A391" s="4">
        <v>390</v>
      </c>
      <c r="AR391" s="11">
        <f t="shared" si="44"/>
        <v>0</v>
      </c>
      <c r="AS391" s="11">
        <f t="shared" si="45"/>
        <v>0</v>
      </c>
      <c r="AT391" s="81">
        <f t="shared" si="46"/>
        <v>0</v>
      </c>
    </row>
    <row r="392" customHeight="1" spans="1:46">
      <c r="A392" s="4">
        <v>391</v>
      </c>
      <c r="AR392" s="11">
        <f t="shared" si="44"/>
        <v>0</v>
      </c>
      <c r="AS392" s="11">
        <f t="shared" si="45"/>
        <v>0</v>
      </c>
      <c r="AT392" s="81">
        <f t="shared" si="46"/>
        <v>0</v>
      </c>
    </row>
    <row r="393" customHeight="1" spans="1:46">
      <c r="A393" s="4">
        <v>392</v>
      </c>
      <c r="AR393" s="11">
        <f t="shared" si="44"/>
        <v>0</v>
      </c>
      <c r="AS393" s="11">
        <f t="shared" si="45"/>
        <v>0</v>
      </c>
      <c r="AT393" s="81">
        <f t="shared" si="46"/>
        <v>0</v>
      </c>
    </row>
    <row r="394" customHeight="1" spans="1:46">
      <c r="A394" s="4">
        <v>393</v>
      </c>
      <c r="AR394" s="11">
        <f t="shared" si="44"/>
        <v>0</v>
      </c>
      <c r="AS394" s="11">
        <f t="shared" si="45"/>
        <v>0</v>
      </c>
      <c r="AT394" s="81">
        <f t="shared" si="46"/>
        <v>0</v>
      </c>
    </row>
    <row r="395" customHeight="1" spans="1:46">
      <c r="A395" s="4">
        <v>394</v>
      </c>
      <c r="AR395" s="11">
        <f t="shared" si="44"/>
        <v>0</v>
      </c>
      <c r="AS395" s="11">
        <f t="shared" si="45"/>
        <v>0</v>
      </c>
      <c r="AT395" s="81">
        <f t="shared" si="46"/>
        <v>0</v>
      </c>
    </row>
    <row r="396" customHeight="1" spans="1:46">
      <c r="A396" s="4">
        <v>395</v>
      </c>
      <c r="AR396" s="11">
        <f t="shared" si="44"/>
        <v>0</v>
      </c>
      <c r="AS396" s="11">
        <f t="shared" si="45"/>
        <v>0</v>
      </c>
      <c r="AT396" s="81">
        <f t="shared" si="46"/>
        <v>0</v>
      </c>
    </row>
    <row r="397" customHeight="1" spans="1:46">
      <c r="A397" s="4">
        <v>396</v>
      </c>
      <c r="AR397" s="11">
        <f t="shared" si="44"/>
        <v>0</v>
      </c>
      <c r="AS397" s="11">
        <f t="shared" si="45"/>
        <v>0</v>
      </c>
      <c r="AT397" s="81">
        <f t="shared" si="46"/>
        <v>0</v>
      </c>
    </row>
    <row r="398" customHeight="1" spans="1:46">
      <c r="A398" s="4">
        <v>397</v>
      </c>
      <c r="AR398" s="11">
        <f t="shared" si="44"/>
        <v>0</v>
      </c>
      <c r="AS398" s="11">
        <f t="shared" si="45"/>
        <v>0</v>
      </c>
      <c r="AT398" s="81">
        <f t="shared" si="46"/>
        <v>0</v>
      </c>
    </row>
    <row r="399" customHeight="1" spans="1:46">
      <c r="A399" s="4">
        <v>398</v>
      </c>
      <c r="AR399" s="11">
        <f t="shared" si="44"/>
        <v>0</v>
      </c>
      <c r="AS399" s="11">
        <f t="shared" si="45"/>
        <v>0</v>
      </c>
      <c r="AT399" s="81">
        <f t="shared" si="46"/>
        <v>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BK399" etc:filterBottomFollowUsedRange="0">
    <sortState ref="A1:BK399">
      <sortCondition ref="A1"/>
    </sortState>
    <extLst/>
  </autoFilter>
  <conditionalFormatting sqref="C315">
    <cfRule type="expression" dxfId="0" priority="2" stopIfTrue="1">
      <formula>COUNTIF(今日订单表!#REF!,$C315)&gt;0</formula>
    </cfRule>
    <cfRule type="expression" priority="3">
      <formula>SUMPRODUCT(--(TRIM(CLEAN(今日订单表!#REF!))=TRIM(CLEAN(C315))))&gt;0</formula>
    </cfRule>
    <cfRule type="expression" priority="4">
      <formula>SUMPRODUCT(--(TRIM(CLEAN(今日订单表!#REF!))=TRIM(CLEAN(C315))))&gt;0</formula>
    </cfRule>
  </conditionalFormatting>
  <conditionalFormatting sqref="C$1:C$1048576">
    <cfRule type="expression" dxfId="1" priority="1">
      <formula>COUNTIF(今日订单表!C:C,$C1)&gt;0</formula>
    </cfRule>
  </conditionalFormatting>
  <conditionalFormatting sqref="C1:C314 C316:C1048576">
    <cfRule type="expression" dxfId="0" priority="5">
      <formula>COUNTIF(今日订单表!#REF!,$C1)&gt;0</formula>
    </cfRule>
    <cfRule type="expression" priority="6">
      <formula>SUMPRODUCT(--(TRIM(CLEAN(今日订单表!#REF!))=TRIM(CLEAN(C1))))&gt;0</formula>
    </cfRule>
    <cfRule type="expression" priority="7">
      <formula>SUMPRODUCT(--(TRIM(CLEAN(今日订单表!#REF!))=TRIM(CLEAN(C1))))&gt;0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3"/>
  <sheetViews>
    <sheetView zoomScale="110" zoomScaleNormal="110" workbookViewId="0">
      <selection activeCell="D11" sqref="D11"/>
    </sheetView>
  </sheetViews>
  <sheetFormatPr defaultColWidth="9.64545454545454" defaultRowHeight="14" outlineLevelCol="2"/>
  <cols>
    <col min="1" max="1" width="9.64545454545454" style="3"/>
    <col min="2" max="2" width="17.6181818181818" style="3" customWidth="1"/>
    <col min="3" max="3" width="32.7181818181818" style="3" customWidth="1"/>
    <col min="4" max="5" width="9.64545454545454" style="3"/>
    <col min="6" max="6" width="22.4636363636364" style="3" customWidth="1"/>
    <col min="7" max="7" width="33.3636363636364" style="3" customWidth="1"/>
    <col min="8" max="16384" width="9.64545454545454" style="3"/>
  </cols>
  <sheetData>
    <row r="1" spans="1:3">
      <c r="A1" s="3" t="s">
        <v>0</v>
      </c>
    </row>
    <row r="2" spans="1:3">
      <c r="A2" s="20">
        <v>1</v>
      </c>
      <c r="B2" s="21" t="s">
        <v>627</v>
      </c>
      <c r="C2" s="20">
        <v>19883299660</v>
      </c>
    </row>
    <row r="3" spans="1:3">
      <c r="A3" s="20">
        <v>2</v>
      </c>
      <c r="B3" s="21" t="s">
        <v>650</v>
      </c>
      <c r="C3" s="20">
        <v>18007111197</v>
      </c>
    </row>
    <row r="4" spans="1:3">
      <c r="A4" s="20">
        <v>3</v>
      </c>
      <c r="B4" s="21" t="s">
        <v>560</v>
      </c>
      <c r="C4" s="20">
        <v>17882699480</v>
      </c>
    </row>
    <row r="5" spans="1:3">
      <c r="A5" s="20">
        <v>4</v>
      </c>
      <c r="B5" s="21" t="s">
        <v>668</v>
      </c>
      <c r="C5" s="20">
        <v>13638641850</v>
      </c>
    </row>
    <row r="6" spans="1:3">
      <c r="A6" s="20">
        <v>5</v>
      </c>
      <c r="B6" s="21" t="s">
        <v>619</v>
      </c>
      <c r="C6" s="20">
        <v>15568430095</v>
      </c>
    </row>
    <row r="7" spans="1:3">
      <c r="A7" s="20">
        <v>6</v>
      </c>
      <c r="B7" s="21" t="s">
        <v>658</v>
      </c>
      <c r="C7" s="20">
        <v>13545962105</v>
      </c>
    </row>
    <row r="8" spans="1:3">
      <c r="A8" s="20">
        <v>7</v>
      </c>
      <c r="B8" s="21" t="s">
        <v>398</v>
      </c>
      <c r="C8" s="20">
        <v>15871779693</v>
      </c>
    </row>
    <row r="9" spans="1:3">
      <c r="A9" s="20">
        <v>8</v>
      </c>
      <c r="B9" s="21" t="s">
        <v>668</v>
      </c>
      <c r="C9" s="20">
        <v>13638641850</v>
      </c>
    </row>
    <row r="10" ht="14.5" spans="1:3">
      <c r="A10" s="20">
        <v>9</v>
      </c>
      <c r="B10" s="22" t="s">
        <v>162</v>
      </c>
      <c r="C10" s="22">
        <v>19398686616</v>
      </c>
    </row>
    <row r="11" ht="14.5" spans="1:3">
      <c r="A11" s="20">
        <v>10</v>
      </c>
      <c r="B11" s="22" t="s">
        <v>669</v>
      </c>
      <c r="C11" s="22">
        <v>18795175238</v>
      </c>
    </row>
    <row r="12" ht="14.5" spans="1:3">
      <c r="A12" s="20">
        <v>11</v>
      </c>
      <c r="B12" s="22" t="s">
        <v>458</v>
      </c>
      <c r="C12" s="22">
        <v>15679161934</v>
      </c>
    </row>
    <row r="13" ht="14.5" spans="1:3">
      <c r="A13" s="20">
        <v>12</v>
      </c>
      <c r="B13" s="22" t="s">
        <v>499</v>
      </c>
      <c r="C13" s="22">
        <v>13164604605</v>
      </c>
    </row>
    <row r="14" ht="14.5" spans="1:3">
      <c r="A14" s="20">
        <v>13</v>
      </c>
      <c r="B14" s="22" t="s">
        <v>679</v>
      </c>
      <c r="C14" s="22">
        <v>13163242799</v>
      </c>
    </row>
    <row r="15" ht="14.5" spans="1:3">
      <c r="A15" s="20">
        <v>14</v>
      </c>
      <c r="B15" s="22" t="s">
        <v>638</v>
      </c>
      <c r="C15" s="22">
        <v>18672556118</v>
      </c>
    </row>
    <row r="16" ht="14.5" spans="1:3">
      <c r="A16" s="20">
        <v>15</v>
      </c>
      <c r="B16" s="22" t="s">
        <v>680</v>
      </c>
      <c r="C16" s="22">
        <v>16639228052</v>
      </c>
    </row>
    <row r="17" ht="14.5" spans="1:3">
      <c r="A17" s="20">
        <v>16</v>
      </c>
      <c r="B17" s="22" t="s">
        <v>681</v>
      </c>
      <c r="C17" s="22">
        <v>13260508102</v>
      </c>
    </row>
    <row r="18" ht="14.5" spans="1:3">
      <c r="A18" s="20">
        <v>17</v>
      </c>
      <c r="B18" s="22" t="s">
        <v>597</v>
      </c>
      <c r="C18" s="22">
        <v>15377052278</v>
      </c>
    </row>
    <row r="19" ht="14.5" spans="1:3">
      <c r="A19" s="20">
        <v>18</v>
      </c>
      <c r="B19" s="22" t="s">
        <v>622</v>
      </c>
      <c r="C19" s="22">
        <v>13336049465</v>
      </c>
    </row>
    <row r="20" ht="14.5" spans="1:3">
      <c r="A20" s="20">
        <v>19</v>
      </c>
      <c r="B20" s="22" t="s">
        <v>564</v>
      </c>
      <c r="C20" s="22">
        <v>17671001501</v>
      </c>
    </row>
    <row r="21" ht="14.5" spans="1:3">
      <c r="A21" s="20">
        <v>20</v>
      </c>
      <c r="B21" s="22" t="s">
        <v>520</v>
      </c>
      <c r="C21" s="22">
        <v>17671770900</v>
      </c>
    </row>
    <row r="22" ht="14.5" spans="1:3">
      <c r="A22" s="20">
        <v>21</v>
      </c>
      <c r="B22" s="22" t="s">
        <v>467</v>
      </c>
      <c r="C22" s="22">
        <v>15926776189</v>
      </c>
    </row>
    <row r="23" ht="14.5" spans="1:3">
      <c r="A23" s="20">
        <v>22</v>
      </c>
      <c r="B23" s="22" t="s">
        <v>682</v>
      </c>
      <c r="C23" s="22">
        <v>13235401202</v>
      </c>
    </row>
    <row r="24" ht="14.5" spans="1:3">
      <c r="A24" s="20">
        <v>23</v>
      </c>
      <c r="B24" s="22" t="s">
        <v>529</v>
      </c>
      <c r="C24" s="22">
        <v>15629060052</v>
      </c>
    </row>
    <row r="25" ht="14.5" spans="1:3">
      <c r="A25" s="20">
        <v>24</v>
      </c>
      <c r="B25" s="22" t="s">
        <v>582</v>
      </c>
      <c r="C25" s="22">
        <v>18176718486</v>
      </c>
    </row>
    <row r="26" ht="14.5" spans="1:3">
      <c r="A26" s="20">
        <v>25</v>
      </c>
      <c r="B26" s="22" t="s">
        <v>683</v>
      </c>
      <c r="C26" s="22">
        <v>17362926480</v>
      </c>
    </row>
    <row r="27" ht="14.5" spans="1:3">
      <c r="A27" s="20">
        <v>26</v>
      </c>
      <c r="B27" s="22" t="s">
        <v>683</v>
      </c>
      <c r="C27" s="22">
        <v>17362926480</v>
      </c>
    </row>
    <row r="28" ht="14.5" spans="1:3">
      <c r="A28" s="20">
        <v>27</v>
      </c>
      <c r="B28" s="22" t="s">
        <v>636</v>
      </c>
      <c r="C28" s="22">
        <v>19107238058</v>
      </c>
    </row>
    <row r="29" ht="14.5" spans="1:3">
      <c r="A29" s="20">
        <v>28</v>
      </c>
      <c r="B29" s="22" t="s">
        <v>660</v>
      </c>
      <c r="C29" s="22">
        <v>18976473563</v>
      </c>
    </row>
    <row r="30" ht="14.5" spans="1:3">
      <c r="A30" s="20">
        <v>29</v>
      </c>
      <c r="B30" s="22" t="s">
        <v>584</v>
      </c>
      <c r="C30" s="22">
        <v>18064028397</v>
      </c>
    </row>
    <row r="31" ht="14.5" spans="1:3">
      <c r="A31" s="20">
        <v>30</v>
      </c>
      <c r="B31" s="22" t="s">
        <v>664</v>
      </c>
      <c r="C31" s="22">
        <v>13476091185</v>
      </c>
    </row>
    <row r="32" ht="14.5" spans="1:3">
      <c r="A32" s="20">
        <v>31</v>
      </c>
      <c r="B32" s="22" t="s">
        <v>628</v>
      </c>
      <c r="C32" s="22">
        <v>13407232025</v>
      </c>
    </row>
    <row r="33" ht="14.5" spans="1:3">
      <c r="A33" s="20">
        <v>32</v>
      </c>
      <c r="B33" s="22" t="s">
        <v>496</v>
      </c>
      <c r="C33" s="22">
        <v>18212011879</v>
      </c>
    </row>
    <row r="34" ht="14.5" spans="1:3">
      <c r="A34" s="20">
        <v>33</v>
      </c>
      <c r="B34" s="22" t="s">
        <v>377</v>
      </c>
      <c r="C34" s="22">
        <v>15027110579</v>
      </c>
    </row>
    <row r="35" ht="14.5" spans="1:3">
      <c r="A35" s="20">
        <v>34</v>
      </c>
      <c r="B35" s="22" t="s">
        <v>379</v>
      </c>
      <c r="C35" s="22">
        <v>13871631525</v>
      </c>
    </row>
    <row r="36" ht="14.5" spans="1:3">
      <c r="A36" s="20">
        <v>35</v>
      </c>
      <c r="B36" s="22" t="s">
        <v>542</v>
      </c>
      <c r="C36" s="22">
        <v>18802488227</v>
      </c>
    </row>
    <row r="37" ht="14.5" spans="1:3">
      <c r="A37" s="20">
        <v>36</v>
      </c>
      <c r="B37" s="22" t="s">
        <v>684</v>
      </c>
      <c r="C37" s="22">
        <v>13117117300</v>
      </c>
    </row>
    <row r="38" ht="14.5" spans="1:3">
      <c r="A38" s="20">
        <v>37</v>
      </c>
      <c r="B38" s="22" t="s">
        <v>635</v>
      </c>
      <c r="C38" s="22">
        <v>15337276022</v>
      </c>
    </row>
    <row r="39" ht="14.5" spans="1:3">
      <c r="A39" s="20">
        <v>38</v>
      </c>
      <c r="B39" s="22" t="s">
        <v>685</v>
      </c>
      <c r="C39" s="22">
        <v>15671703099</v>
      </c>
    </row>
    <row r="40" ht="14.5" spans="1:3">
      <c r="A40" s="20">
        <v>39</v>
      </c>
      <c r="B40" s="22" t="s">
        <v>606</v>
      </c>
      <c r="C40" s="22">
        <v>18775985275</v>
      </c>
    </row>
    <row r="41" ht="14.5" spans="1:3">
      <c r="A41" s="20">
        <v>40</v>
      </c>
      <c r="B41" s="22" t="s">
        <v>417</v>
      </c>
      <c r="C41" s="22">
        <v>19871992042</v>
      </c>
    </row>
    <row r="42" ht="14.5" spans="1:3">
      <c r="A42" s="20">
        <v>41</v>
      </c>
      <c r="B42" s="22" t="s">
        <v>356</v>
      </c>
      <c r="C42" s="22">
        <v>13971954577</v>
      </c>
    </row>
    <row r="43" ht="14.5" spans="1:3">
      <c r="A43" s="20">
        <v>42</v>
      </c>
      <c r="B43" s="22" t="s">
        <v>457</v>
      </c>
      <c r="C43" s="22">
        <v>17307230923</v>
      </c>
    </row>
    <row r="44" ht="14.5" spans="1:3">
      <c r="A44" s="20">
        <v>43</v>
      </c>
      <c r="B44" s="22" t="s">
        <v>653</v>
      </c>
      <c r="C44" s="22">
        <v>15896341475</v>
      </c>
    </row>
    <row r="45" ht="14.5" spans="1:3">
      <c r="A45" s="20">
        <v>44</v>
      </c>
      <c r="B45" s="22" t="s">
        <v>515</v>
      </c>
      <c r="C45" s="22">
        <v>13972670402</v>
      </c>
    </row>
    <row r="46" ht="14.5" spans="1:3">
      <c r="A46" s="20">
        <v>45</v>
      </c>
      <c r="B46" s="22" t="s">
        <v>608</v>
      </c>
      <c r="C46" s="22">
        <v>15527920293</v>
      </c>
    </row>
    <row r="47" ht="14.5" spans="1:3">
      <c r="A47" s="20">
        <v>46</v>
      </c>
      <c r="B47" s="22" t="s">
        <v>686</v>
      </c>
      <c r="C47" s="22">
        <v>18671653551</v>
      </c>
    </row>
    <row r="48" ht="14.5" spans="1:3">
      <c r="A48" s="20">
        <v>47</v>
      </c>
      <c r="B48" s="22" t="s">
        <v>552</v>
      </c>
      <c r="C48" s="22">
        <v>15595907669</v>
      </c>
    </row>
    <row r="49" ht="14.5" spans="1:3">
      <c r="A49" s="20">
        <v>48</v>
      </c>
      <c r="B49" s="22" t="s">
        <v>465</v>
      </c>
      <c r="C49" s="22">
        <v>17671619261</v>
      </c>
    </row>
    <row r="50" ht="14.5" spans="1:3">
      <c r="A50" s="20">
        <v>49</v>
      </c>
      <c r="B50" s="22" t="s">
        <v>403</v>
      </c>
      <c r="C50" s="22">
        <v>18189522767</v>
      </c>
    </row>
    <row r="51" ht="14.5" spans="1:3">
      <c r="A51" s="20">
        <v>50</v>
      </c>
      <c r="B51" s="22" t="s">
        <v>666</v>
      </c>
      <c r="C51" s="22">
        <v>18573031066</v>
      </c>
    </row>
    <row r="52" ht="14.5" spans="1:3">
      <c r="A52" s="20">
        <v>51</v>
      </c>
      <c r="B52" s="22" t="s">
        <v>687</v>
      </c>
      <c r="C52" s="22">
        <v>18086218511</v>
      </c>
    </row>
    <row r="53" ht="14.5" spans="1:3">
      <c r="A53" s="20">
        <v>52</v>
      </c>
      <c r="B53" s="22" t="s">
        <v>535</v>
      </c>
      <c r="C53" s="22">
        <v>15971367262</v>
      </c>
    </row>
    <row r="54" ht="14.5" spans="1:3">
      <c r="A54" s="20">
        <v>53</v>
      </c>
      <c r="B54" s="22" t="s">
        <v>688</v>
      </c>
      <c r="C54" s="22">
        <v>15327395268</v>
      </c>
    </row>
    <row r="55" ht="14.5" spans="1:3">
      <c r="A55" s="20">
        <v>54</v>
      </c>
      <c r="B55" s="22" t="s">
        <v>689</v>
      </c>
      <c r="C55" s="22">
        <v>18627086000</v>
      </c>
    </row>
    <row r="56" ht="14.5" spans="1:3">
      <c r="A56" s="20">
        <v>55</v>
      </c>
      <c r="B56" s="22" t="s">
        <v>360</v>
      </c>
      <c r="C56" s="22">
        <v>19972480747</v>
      </c>
    </row>
    <row r="57" ht="14.5" spans="1:3">
      <c r="A57" s="20">
        <v>56</v>
      </c>
      <c r="B57" s="22" t="s">
        <v>319</v>
      </c>
      <c r="C57" s="22">
        <v>15327182252</v>
      </c>
    </row>
    <row r="58" ht="14.5" spans="1:3">
      <c r="A58" s="20">
        <v>57</v>
      </c>
      <c r="B58" s="22" t="s">
        <v>319</v>
      </c>
      <c r="C58" s="22">
        <v>15327182252</v>
      </c>
    </row>
    <row r="59" ht="14.5" spans="1:3">
      <c r="A59" s="20">
        <v>58</v>
      </c>
      <c r="B59" s="22" t="s">
        <v>655</v>
      </c>
      <c r="C59" s="22">
        <v>13979402794</v>
      </c>
    </row>
    <row r="60" ht="14.5" spans="1:3">
      <c r="A60" s="20">
        <v>59</v>
      </c>
      <c r="B60" s="22" t="s">
        <v>543</v>
      </c>
      <c r="C60" s="22">
        <v>17707257858</v>
      </c>
    </row>
    <row r="61" ht="14.5" spans="1:3">
      <c r="A61" s="20">
        <v>60</v>
      </c>
      <c r="B61" s="22" t="s">
        <v>690</v>
      </c>
      <c r="C61" s="22">
        <v>17740594192</v>
      </c>
    </row>
    <row r="62" spans="1:3">
      <c r="A62" s="20">
        <v>61</v>
      </c>
      <c r="B62" s="20" t="s">
        <v>393</v>
      </c>
      <c r="C62" s="20">
        <v>13597468355</v>
      </c>
    </row>
    <row r="63" spans="1:3">
      <c r="A63" s="20">
        <v>62</v>
      </c>
      <c r="B63" s="20" t="s">
        <v>610</v>
      </c>
      <c r="C63" s="20">
        <v>19972656730</v>
      </c>
    </row>
    <row r="64" spans="1:3">
      <c r="A64" s="20">
        <v>63</v>
      </c>
      <c r="B64" s="20" t="s">
        <v>297</v>
      </c>
      <c r="C64" s="20">
        <v>13071236781</v>
      </c>
    </row>
    <row r="65" spans="1:3">
      <c r="A65" s="20">
        <v>64</v>
      </c>
      <c r="B65" s="20" t="s">
        <v>297</v>
      </c>
      <c r="C65" s="20">
        <v>13071236781</v>
      </c>
    </row>
    <row r="66" ht="14.5" spans="1:3">
      <c r="A66" s="20"/>
      <c r="B66" s="22"/>
      <c r="C66" s="22"/>
    </row>
    <row r="67" ht="14.5" spans="1:3">
      <c r="A67" s="20"/>
      <c r="B67" s="22"/>
      <c r="C67" s="22"/>
    </row>
    <row r="68" ht="14.5" spans="1:3">
      <c r="A68" s="20"/>
      <c r="B68" s="22"/>
      <c r="C68" s="22"/>
    </row>
    <row r="69" ht="14.5" spans="1:3">
      <c r="A69" s="20"/>
      <c r="B69" s="22"/>
      <c r="C69" s="22"/>
    </row>
    <row r="70" ht="14.5" spans="1:3">
      <c r="A70" s="20"/>
      <c r="B70" s="22"/>
      <c r="C70" s="22"/>
    </row>
    <row r="71" ht="14.5" spans="1:3">
      <c r="A71" s="20"/>
      <c r="B71" s="22"/>
      <c r="C71" s="22"/>
    </row>
    <row r="72" ht="14.5" spans="1:3">
      <c r="A72" s="20"/>
      <c r="B72" s="22"/>
      <c r="C72" s="22"/>
    </row>
    <row r="73" ht="14.5" spans="1:3">
      <c r="A73" s="20"/>
      <c r="B73" s="22"/>
      <c r="C73" s="22"/>
    </row>
    <row r="74" ht="14.5" spans="1:3">
      <c r="A74" s="20"/>
      <c r="B74" s="22"/>
      <c r="C74" s="22"/>
    </row>
    <row r="75" ht="14.5" spans="1:3">
      <c r="A75" s="20"/>
      <c r="B75" s="22"/>
      <c r="C75" s="22"/>
    </row>
    <row r="76" ht="14.5" spans="1:3">
      <c r="A76" s="20"/>
      <c r="B76" s="22"/>
      <c r="C76" s="22"/>
    </row>
    <row r="77" ht="14.5" spans="1:3">
      <c r="A77" s="20"/>
      <c r="B77" s="22"/>
      <c r="C77" s="22"/>
    </row>
    <row r="78" ht="14.5" spans="1:3">
      <c r="A78" s="20"/>
      <c r="B78" s="22"/>
      <c r="C78" s="22"/>
    </row>
    <row r="79" ht="14.5" spans="1:3">
      <c r="A79" s="20"/>
      <c r="B79" s="22"/>
      <c r="C79" s="22"/>
    </row>
    <row r="80" ht="14.5" spans="1:3">
      <c r="A80" s="20"/>
      <c r="B80" s="22"/>
      <c r="C80" s="22"/>
    </row>
    <row r="81" ht="14.5" spans="1:3">
      <c r="A81" s="20"/>
      <c r="B81" s="22"/>
      <c r="C81" s="22"/>
    </row>
    <row r="82" ht="14.5" spans="1:3">
      <c r="A82" s="20"/>
      <c r="B82" s="22"/>
      <c r="C82" s="22"/>
    </row>
    <row r="83" ht="14.5" spans="1:3">
      <c r="A83" s="20"/>
      <c r="B83" s="22"/>
      <c r="C83" s="22"/>
    </row>
    <row r="84" ht="14.5" spans="1:3">
      <c r="A84" s="20"/>
      <c r="B84" s="22"/>
      <c r="C84" s="22"/>
    </row>
    <row r="85" ht="14.5" spans="1:3">
      <c r="A85" s="20"/>
      <c r="B85" s="22"/>
      <c r="C85" s="22"/>
    </row>
    <row r="86" ht="14.5" spans="1:3">
      <c r="A86" s="20"/>
      <c r="B86" s="22"/>
      <c r="C86" s="22"/>
    </row>
    <row r="87" ht="14.5" spans="1:3">
      <c r="A87" s="20"/>
      <c r="B87" s="22"/>
      <c r="C87" s="22"/>
    </row>
    <row r="88" ht="14.5" spans="1:3">
      <c r="A88" s="20"/>
      <c r="B88" s="22"/>
      <c r="C88" s="22"/>
    </row>
    <row r="89" ht="14.5" spans="1:3">
      <c r="A89" s="20"/>
      <c r="B89" s="22"/>
      <c r="C89" s="22"/>
    </row>
    <row r="90" ht="14.5" spans="1:3">
      <c r="A90" s="20"/>
      <c r="B90" s="22"/>
      <c r="C90" s="22"/>
    </row>
    <row r="91" ht="14.5" spans="1:3">
      <c r="A91" s="20"/>
      <c r="B91" s="22"/>
      <c r="C91" s="22"/>
    </row>
    <row r="92" ht="14.5" spans="1:3">
      <c r="A92" s="20"/>
      <c r="B92" s="22"/>
      <c r="C92" s="22"/>
    </row>
    <row r="93" ht="14.5" spans="1:3">
      <c r="A93" s="20"/>
      <c r="B93" s="22"/>
      <c r="C93" s="22"/>
    </row>
    <row r="94" ht="14.5" spans="1:3">
      <c r="A94" s="20"/>
      <c r="B94" s="22"/>
      <c r="C94" s="22"/>
    </row>
    <row r="95" ht="14.5" spans="1:3">
      <c r="A95" s="20"/>
      <c r="B95" s="22"/>
      <c r="C95" s="22"/>
    </row>
    <row r="96" ht="14.5" spans="1:3">
      <c r="A96" s="20"/>
      <c r="B96" s="22"/>
      <c r="C96" s="22"/>
    </row>
    <row r="97" ht="14.5" spans="1:3">
      <c r="A97" s="20"/>
      <c r="B97" s="22"/>
      <c r="C97" s="22"/>
    </row>
    <row r="98" ht="14.5" spans="1:3">
      <c r="A98" s="20"/>
      <c r="B98" s="22"/>
      <c r="C98" s="22"/>
    </row>
    <row r="99" ht="14.5" spans="1:3">
      <c r="A99" s="20"/>
      <c r="B99" s="22"/>
      <c r="C99" s="22"/>
    </row>
    <row r="100" ht="14.5" spans="1:3">
      <c r="A100" s="20"/>
      <c r="B100" s="22"/>
      <c r="C100" s="22"/>
    </row>
    <row r="101" ht="14.5" spans="1:3">
      <c r="A101" s="20"/>
      <c r="B101" s="22"/>
      <c r="C101" s="22"/>
    </row>
    <row r="102" ht="14.5" spans="1:3">
      <c r="A102" s="20"/>
      <c r="B102" s="22"/>
      <c r="C102" s="22"/>
    </row>
    <row r="103" ht="14.5" spans="1:3">
      <c r="A103" s="20"/>
      <c r="B103" s="22"/>
      <c r="C103" s="22"/>
    </row>
    <row r="104" ht="14.5" spans="1:3">
      <c r="A104" s="20"/>
      <c r="B104" s="22"/>
      <c r="C104" s="22"/>
    </row>
    <row r="105" ht="14.5" spans="1:3">
      <c r="A105" s="20"/>
      <c r="B105" s="22"/>
      <c r="C105" s="22"/>
    </row>
    <row r="106" ht="14.5" spans="1:3">
      <c r="A106" s="20"/>
      <c r="B106" s="22"/>
      <c r="C106" s="22"/>
    </row>
    <row r="107" ht="14.5" spans="1:3">
      <c r="A107" s="20"/>
      <c r="B107" s="22"/>
      <c r="C107" s="22"/>
    </row>
    <row r="108" ht="14.5" spans="1:3">
      <c r="A108" s="20"/>
      <c r="B108" s="22"/>
      <c r="C108" s="22"/>
    </row>
    <row r="109" ht="14.5" spans="1:3">
      <c r="A109" s="20"/>
      <c r="B109" s="22"/>
      <c r="C109" s="22"/>
    </row>
    <row r="110" ht="14.5" spans="1:3">
      <c r="A110" s="20"/>
      <c r="B110" s="22"/>
      <c r="C110" s="22"/>
    </row>
    <row r="111" ht="14.5" spans="1:3">
      <c r="A111" s="20"/>
      <c r="B111" s="22"/>
      <c r="C111" s="22"/>
    </row>
    <row r="112" ht="14.5" spans="1:3">
      <c r="A112" s="20"/>
      <c r="B112" s="22"/>
      <c r="C112" s="22"/>
    </row>
    <row r="113" ht="14.5" spans="1:3">
      <c r="A113" s="20"/>
      <c r="B113" s="22"/>
      <c r="C113" s="22"/>
    </row>
    <row r="114" ht="14.5" spans="1:3">
      <c r="A114" s="20"/>
      <c r="B114" s="22"/>
      <c r="C114" s="22"/>
    </row>
    <row r="115" ht="14.5" spans="1:3">
      <c r="A115" s="20"/>
      <c r="B115" s="22"/>
      <c r="C115" s="22"/>
    </row>
    <row r="116" ht="14.5" spans="1:3">
      <c r="A116" s="20"/>
      <c r="B116" s="22"/>
      <c r="C116" s="22"/>
    </row>
    <row r="117" ht="14.5" spans="1:3">
      <c r="A117" s="20"/>
      <c r="B117" s="22"/>
      <c r="C117" s="22"/>
    </row>
    <row r="118" ht="14.5" spans="1:3">
      <c r="A118" s="20"/>
      <c r="B118" s="22"/>
      <c r="C118" s="22"/>
    </row>
    <row r="119" ht="14.5" spans="1:3">
      <c r="A119" s="20"/>
      <c r="B119" s="22"/>
      <c r="C119" s="22"/>
    </row>
    <row r="120" ht="14.5" spans="1:3">
      <c r="A120" s="20"/>
      <c r="B120" s="22"/>
      <c r="C120" s="22"/>
    </row>
    <row r="121" ht="14.5" spans="1:3">
      <c r="A121" s="20"/>
      <c r="B121" s="22"/>
      <c r="C121" s="22"/>
    </row>
    <row r="122" ht="14.5" spans="1:3">
      <c r="A122" s="20"/>
      <c r="B122" s="22"/>
      <c r="C122" s="22"/>
    </row>
    <row r="123" ht="14.5" spans="1:3">
      <c r="A123" s="20"/>
      <c r="B123" s="22"/>
      <c r="C123" s="22"/>
    </row>
    <row r="124" ht="14.5" spans="1:3">
      <c r="A124" s="20"/>
      <c r="B124" s="22"/>
      <c r="C124" s="22"/>
    </row>
    <row r="125" ht="14.5" spans="1:3">
      <c r="A125" s="20"/>
      <c r="B125" s="22"/>
      <c r="C125" s="22"/>
    </row>
    <row r="126" ht="14.5" spans="1:3">
      <c r="A126" s="20"/>
      <c r="B126" s="22"/>
      <c r="C126" s="22"/>
    </row>
    <row r="127" ht="14.5" spans="1:3">
      <c r="A127" s="20"/>
      <c r="B127" s="22"/>
      <c r="C127" s="22"/>
    </row>
    <row r="128" ht="14.5" spans="1:3">
      <c r="A128" s="20"/>
      <c r="B128" s="22"/>
      <c r="C128" s="22"/>
    </row>
    <row r="129" ht="14.5" spans="1:3">
      <c r="A129" s="20"/>
      <c r="B129" s="22"/>
      <c r="C129" s="22"/>
    </row>
    <row r="130" ht="14.5" spans="1:3">
      <c r="A130" s="20"/>
      <c r="B130" s="22"/>
      <c r="C130" s="22"/>
    </row>
    <row r="131" ht="14.5" spans="1:3">
      <c r="A131" s="20"/>
      <c r="B131" s="22"/>
      <c r="C131" s="22"/>
    </row>
    <row r="132" ht="14.5" spans="1:3">
      <c r="A132" s="20"/>
      <c r="B132" s="22"/>
      <c r="C132" s="22"/>
    </row>
    <row r="133" ht="14.5" spans="1:3">
      <c r="A133" s="20"/>
      <c r="B133" s="22"/>
      <c r="C133" s="22"/>
    </row>
    <row r="134" ht="14.5" spans="1:3">
      <c r="A134" s="20"/>
      <c r="B134" s="22"/>
      <c r="C134" s="22"/>
    </row>
    <row r="135" ht="14.5" spans="1:3">
      <c r="A135" s="20"/>
      <c r="B135" s="22"/>
      <c r="C135" s="22"/>
    </row>
    <row r="136" ht="14.5" spans="1:3">
      <c r="A136" s="20"/>
      <c r="B136" s="22"/>
      <c r="C136" s="22"/>
    </row>
    <row r="137" ht="14.5" spans="1:3">
      <c r="A137" s="20"/>
      <c r="B137" s="22"/>
      <c r="C137" s="22"/>
    </row>
    <row r="138" ht="14.5" spans="1:3">
      <c r="A138" s="20"/>
      <c r="B138" s="22"/>
      <c r="C138" s="22"/>
    </row>
    <row r="139" ht="14.5" spans="1:3">
      <c r="A139" s="20"/>
      <c r="B139" s="22"/>
      <c r="C139" s="22"/>
    </row>
    <row r="140" ht="14.5" spans="1:3">
      <c r="A140" s="20"/>
      <c r="B140" s="22"/>
      <c r="C140" s="22"/>
    </row>
    <row r="141" ht="14.5" spans="1:3">
      <c r="A141" s="20"/>
      <c r="B141" s="22"/>
      <c r="C141" s="22"/>
    </row>
    <row r="142" ht="14.5" spans="1:3">
      <c r="A142" s="20"/>
      <c r="B142" s="22"/>
      <c r="C142" s="22"/>
    </row>
    <row r="143" ht="14.5" spans="1:3">
      <c r="A143" s="20"/>
      <c r="B143" s="22"/>
      <c r="C143" s="22"/>
    </row>
    <row r="144" ht="14.5" spans="1:3">
      <c r="A144" s="20"/>
      <c r="B144" s="22"/>
      <c r="C144" s="22"/>
    </row>
    <row r="145" ht="14.5" spans="1:3">
      <c r="A145" s="20"/>
      <c r="B145" s="22"/>
      <c r="C145" s="22"/>
    </row>
    <row r="146" ht="14.5" spans="1:3">
      <c r="A146" s="20"/>
      <c r="B146" s="22"/>
      <c r="C146" s="22"/>
    </row>
    <row r="147" ht="14.5" spans="1:3">
      <c r="A147" s="20"/>
      <c r="B147" s="22"/>
      <c r="C147" s="22"/>
    </row>
    <row r="148" ht="14.5" spans="1:3">
      <c r="A148" s="20"/>
      <c r="B148" s="22"/>
      <c r="C148" s="22"/>
    </row>
    <row r="149" ht="14.5" spans="1:3">
      <c r="A149" s="20"/>
      <c r="B149" s="22"/>
      <c r="C149" s="22"/>
    </row>
    <row r="150" ht="14.5" spans="1:3">
      <c r="A150" s="20"/>
      <c r="B150" s="22"/>
      <c r="C150" s="22"/>
    </row>
    <row r="151" ht="14.5" spans="1:3">
      <c r="A151" s="20"/>
      <c r="B151" s="22"/>
      <c r="C151" s="22"/>
    </row>
    <row r="152" ht="14.5" spans="1:3">
      <c r="A152" s="20"/>
      <c r="B152" s="22"/>
      <c r="C152" s="22"/>
    </row>
    <row r="153" ht="14.5" spans="1:3">
      <c r="A153" s="20"/>
      <c r="B153" s="22"/>
      <c r="C153" s="22"/>
    </row>
    <row r="154" ht="14.5" spans="1:3">
      <c r="A154" s="20"/>
      <c r="B154" s="22"/>
      <c r="C154" s="22"/>
    </row>
    <row r="155" ht="14.5" spans="1:3">
      <c r="A155" s="20"/>
      <c r="B155" s="22"/>
      <c r="C155" s="22"/>
    </row>
    <row r="156" ht="14.5" spans="1:3">
      <c r="A156" s="20"/>
      <c r="B156" s="22"/>
      <c r="C156" s="22"/>
    </row>
    <row r="157" ht="14.5" spans="1:3">
      <c r="A157" s="20"/>
      <c r="B157" s="22"/>
      <c r="C157" s="22"/>
    </row>
    <row r="158" ht="14.5" spans="1:3">
      <c r="A158" s="20"/>
      <c r="B158" s="22"/>
      <c r="C158" s="22"/>
    </row>
    <row r="159" ht="14.5" spans="1:3">
      <c r="A159" s="20"/>
      <c r="B159" s="22"/>
      <c r="C159" s="22"/>
    </row>
    <row r="160" spans="1:3">
      <c r="A160" s="23"/>
      <c r="B160" s="23"/>
      <c r="C160" s="23"/>
    </row>
    <row r="161" spans="1:3">
      <c r="A161" s="23"/>
      <c r="B161" s="23"/>
      <c r="C161" s="23"/>
    </row>
    <row r="162" spans="1:3">
      <c r="A162" s="23"/>
      <c r="B162" s="23"/>
      <c r="C162" s="23"/>
    </row>
    <row r="163" spans="1:3">
      <c r="A163" s="23"/>
      <c r="B163" s="23"/>
      <c r="C163" s="23"/>
    </row>
    <row r="164" spans="1:3">
      <c r="A164" s="23"/>
      <c r="B164" s="23"/>
      <c r="C164" s="23"/>
    </row>
    <row r="165" spans="1:3">
      <c r="A165" s="23"/>
      <c r="B165" s="23"/>
      <c r="C165" s="23"/>
    </row>
    <row r="166" spans="1:3">
      <c r="A166" s="23"/>
      <c r="B166" s="23"/>
      <c r="C166" s="23"/>
    </row>
    <row r="167" spans="1:3">
      <c r="A167" s="23"/>
      <c r="B167" s="23"/>
      <c r="C167" s="23"/>
    </row>
    <row r="168" spans="1:3">
      <c r="A168" s="23"/>
      <c r="B168" s="23"/>
      <c r="C168" s="23"/>
    </row>
    <row r="169" spans="1:3">
      <c r="A169" s="23"/>
      <c r="B169" s="23"/>
      <c r="C169" s="23"/>
    </row>
    <row r="170" spans="1:3">
      <c r="A170" s="23"/>
      <c r="B170" s="23"/>
      <c r="C170" s="23"/>
    </row>
    <row r="171" spans="1:3">
      <c r="A171" s="23"/>
      <c r="B171" s="23"/>
      <c r="C171" s="23"/>
    </row>
    <row r="172" spans="1:3">
      <c r="A172" s="23"/>
      <c r="B172" s="23"/>
      <c r="C172" s="23"/>
    </row>
    <row r="173" spans="1:3">
      <c r="A173" s="23"/>
      <c r="B173" s="23"/>
      <c r="C173" s="23"/>
    </row>
  </sheetData>
  <sheetProtection formatCells="0" formatColumns="0" formatRows="0" insertRows="0" insertColumns="0" insertHyperlinks="0" deleteColumns="0" deleteRows="0" sort="0" autoFilter="0" pivotTables="0"/>
  <conditionalFormatting sqref="G12">
    <cfRule type="expression" priority="2">
      <formula>COUNTIF(今日订单表!C:C,C2)=0</formula>
    </cfRule>
  </conditionalFormatting>
  <conditionalFormatting sqref="C$1:C$1048576">
    <cfRule type="expression" dxfId="2" priority="1">
      <formula>COUNTIF(今日订单表!C:C,C2)=0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G16" sqref="G16"/>
    </sheetView>
  </sheetViews>
  <sheetFormatPr defaultColWidth="9.64545454545454" defaultRowHeight="14" outlineLevelCol="5"/>
  <cols>
    <col min="1" max="1" width="9.64545454545454" style="3"/>
    <col min="2" max="2" width="10.3727272727273" style="3" customWidth="1"/>
    <col min="3" max="3" width="9.64545454545454" style="3"/>
    <col min="4" max="4" width="10.3090909090909" style="3" customWidth="1"/>
    <col min="5" max="5" width="39.3818181818182" style="3" customWidth="1"/>
    <col min="6" max="16384" width="9.64545454545454" style="3"/>
  </cols>
  <sheetData>
    <row r="1" spans="1:6">
      <c r="A1" s="15" t="s">
        <v>0</v>
      </c>
      <c r="B1" s="16" t="s">
        <v>691</v>
      </c>
      <c r="C1" s="17">
        <f>SUM(D3:D141)</f>
        <v>15</v>
      </c>
      <c r="D1" s="17"/>
      <c r="E1" s="17"/>
    </row>
    <row r="2" spans="1:6">
      <c r="B2" s="16" t="s">
        <v>17</v>
      </c>
      <c r="C2" s="16" t="s">
        <v>1</v>
      </c>
      <c r="D2" s="16" t="s">
        <v>692</v>
      </c>
      <c r="E2" s="16" t="s">
        <v>693</v>
      </c>
    </row>
    <row r="3" spans="1:6">
      <c r="A3" s="3">
        <v>1</v>
      </c>
      <c r="B3" s="18">
        <v>46147</v>
      </c>
      <c r="C3" s="16" t="s">
        <v>694</v>
      </c>
      <c r="D3" s="19">
        <v>1</v>
      </c>
      <c r="E3" s="16" t="s">
        <v>695</v>
      </c>
      <c r="F3" s="15" t="s">
        <v>696</v>
      </c>
    </row>
    <row r="4" spans="1:6">
      <c r="A4" s="3">
        <v>2</v>
      </c>
      <c r="B4" s="18">
        <v>46148</v>
      </c>
      <c r="C4" s="16" t="s">
        <v>313</v>
      </c>
      <c r="D4" s="19">
        <v>0</v>
      </c>
      <c r="E4" s="16" t="s">
        <v>697</v>
      </c>
    </row>
    <row r="5" spans="1:6">
      <c r="A5" s="3">
        <v>3</v>
      </c>
      <c r="B5" s="18">
        <v>46149</v>
      </c>
      <c r="C5" s="16" t="s">
        <v>480</v>
      </c>
      <c r="D5" s="19">
        <v>0</v>
      </c>
      <c r="E5" s="16" t="s">
        <v>697</v>
      </c>
    </row>
    <row r="6" spans="1:6">
      <c r="A6" s="3">
        <v>4</v>
      </c>
      <c r="B6" s="18">
        <v>46149</v>
      </c>
      <c r="C6" s="16" t="s">
        <v>188</v>
      </c>
      <c r="D6" s="19">
        <v>0</v>
      </c>
      <c r="E6" s="16" t="s">
        <v>697</v>
      </c>
    </row>
    <row r="7" spans="1:6">
      <c r="A7" s="3">
        <v>5</v>
      </c>
      <c r="B7" s="18">
        <v>46149</v>
      </c>
      <c r="C7" s="16" t="s">
        <v>424</v>
      </c>
      <c r="D7" s="19">
        <v>0</v>
      </c>
      <c r="E7" s="16" t="s">
        <v>697</v>
      </c>
    </row>
    <row r="8" spans="1:6">
      <c r="A8" s="3">
        <v>6</v>
      </c>
      <c r="B8" s="18">
        <v>46149</v>
      </c>
      <c r="C8" s="16" t="s">
        <v>432</v>
      </c>
      <c r="D8" s="19">
        <v>1</v>
      </c>
      <c r="E8" s="16" t="s">
        <v>698</v>
      </c>
    </row>
    <row r="9" spans="1:6">
      <c r="B9" s="18">
        <v>46150</v>
      </c>
      <c r="C9" s="3" t="s">
        <v>599</v>
      </c>
      <c r="D9" s="3">
        <v>2</v>
      </c>
      <c r="E9" s="16" t="s">
        <v>699</v>
      </c>
    </row>
    <row r="10" spans="1:6">
      <c r="B10" s="18">
        <v>46151</v>
      </c>
      <c r="C10" s="3" t="s">
        <v>362</v>
      </c>
      <c r="D10" s="3">
        <v>0</v>
      </c>
      <c r="E10" s="3" t="s">
        <v>700</v>
      </c>
    </row>
    <row r="11" spans="1:6">
      <c r="B11" s="18">
        <v>46151</v>
      </c>
      <c r="C11" s="3" t="s">
        <v>701</v>
      </c>
      <c r="D11" s="3">
        <v>0</v>
      </c>
      <c r="E11" s="3" t="s">
        <v>700</v>
      </c>
    </row>
    <row r="12" spans="1:6">
      <c r="B12" s="18">
        <v>46152</v>
      </c>
      <c r="C12" s="3" t="s">
        <v>303</v>
      </c>
      <c r="D12" s="3">
        <v>1</v>
      </c>
      <c r="E12" s="16" t="s">
        <v>695</v>
      </c>
    </row>
    <row r="13" spans="1:6">
      <c r="B13" s="18">
        <v>46153</v>
      </c>
      <c r="C13" s="3" t="s">
        <v>672</v>
      </c>
      <c r="D13" s="3">
        <v>0</v>
      </c>
      <c r="E13" s="16" t="s">
        <v>702</v>
      </c>
    </row>
    <row r="14" spans="1:6">
      <c r="B14" s="18">
        <v>46154</v>
      </c>
      <c r="C14" s="3" t="s">
        <v>534</v>
      </c>
      <c r="D14" s="3">
        <v>0</v>
      </c>
      <c r="E14" s="16" t="s">
        <v>703</v>
      </c>
    </row>
    <row r="15" spans="1:6">
      <c r="B15" s="18">
        <v>46154</v>
      </c>
      <c r="C15" s="3" t="s">
        <v>487</v>
      </c>
      <c r="D15" s="3">
        <v>4</v>
      </c>
      <c r="E15" s="16" t="s">
        <v>704</v>
      </c>
    </row>
    <row r="16" spans="1:6">
      <c r="B16" s="18">
        <v>46155</v>
      </c>
      <c r="C16" s="3" t="s">
        <v>705</v>
      </c>
      <c r="D16" s="3">
        <v>1</v>
      </c>
      <c r="E16" s="3" t="s">
        <v>706</v>
      </c>
    </row>
    <row r="17" spans="2:5">
      <c r="B17" s="18">
        <v>46155</v>
      </c>
      <c r="C17" s="3" t="s">
        <v>555</v>
      </c>
      <c r="D17" s="3">
        <v>0</v>
      </c>
      <c r="E17" s="3" t="s">
        <v>707</v>
      </c>
    </row>
    <row r="18" spans="2:5">
      <c r="B18" s="18">
        <v>46156</v>
      </c>
      <c r="C18" s="3" t="s">
        <v>664</v>
      </c>
      <c r="D18" s="3">
        <v>1</v>
      </c>
      <c r="E18" s="3" t="s">
        <v>708</v>
      </c>
    </row>
    <row r="19" spans="2:5">
      <c r="B19" s="18">
        <v>46156</v>
      </c>
      <c r="C19" s="3" t="s">
        <v>526</v>
      </c>
      <c r="D19" s="3">
        <v>1</v>
      </c>
      <c r="E19" s="3" t="s">
        <v>708</v>
      </c>
    </row>
    <row r="20" spans="2:5">
      <c r="B20" s="18">
        <v>46156</v>
      </c>
      <c r="C20" s="3" t="s">
        <v>424</v>
      </c>
      <c r="D20" s="3">
        <v>1</v>
      </c>
      <c r="E20" s="3" t="s">
        <v>708</v>
      </c>
    </row>
    <row r="21" spans="2:5">
      <c r="B21" s="18">
        <v>46156</v>
      </c>
      <c r="C21" s="3" t="s">
        <v>452</v>
      </c>
      <c r="D21" s="3">
        <v>1</v>
      </c>
      <c r="E21" s="3" t="s">
        <v>708</v>
      </c>
    </row>
    <row r="22" spans="2:5">
      <c r="B22" s="18">
        <v>46156</v>
      </c>
      <c r="C22" s="3" t="s">
        <v>638</v>
      </c>
      <c r="D22" s="3">
        <v>0</v>
      </c>
      <c r="E22" s="3" t="s">
        <v>709</v>
      </c>
    </row>
    <row r="23" spans="2:5">
      <c r="B23" s="18">
        <v>46156</v>
      </c>
      <c r="C23" s="3" t="s">
        <v>637</v>
      </c>
      <c r="D23" s="3">
        <v>0</v>
      </c>
      <c r="E23" s="3" t="s">
        <v>700</v>
      </c>
    </row>
    <row r="24" spans="2:5">
      <c r="B24" s="18">
        <v>46156</v>
      </c>
      <c r="C24" s="3" t="s">
        <v>263</v>
      </c>
      <c r="D24" s="3">
        <v>0</v>
      </c>
      <c r="E24" s="3" t="s">
        <v>700</v>
      </c>
    </row>
    <row r="25" spans="2:5">
      <c r="B25" s="18">
        <v>46156</v>
      </c>
      <c r="C25" s="3" t="s">
        <v>619</v>
      </c>
      <c r="D25" s="3">
        <v>0</v>
      </c>
      <c r="E25" s="3" t="s">
        <v>700</v>
      </c>
    </row>
    <row r="26" spans="2:5">
      <c r="B26" s="18">
        <v>46156</v>
      </c>
      <c r="C26" s="3" t="s">
        <v>661</v>
      </c>
      <c r="D26" s="3">
        <v>0</v>
      </c>
      <c r="E26" s="3" t="s">
        <v>700</v>
      </c>
    </row>
    <row r="27" spans="2:5">
      <c r="B27" s="18">
        <v>46156</v>
      </c>
      <c r="C27" s="3" t="s">
        <v>380</v>
      </c>
      <c r="D27" s="3">
        <v>0</v>
      </c>
      <c r="E27" s="3" t="s">
        <v>700</v>
      </c>
    </row>
    <row r="28" spans="2:5">
      <c r="B28" s="18">
        <v>46156</v>
      </c>
      <c r="C28" s="3" t="s">
        <v>655</v>
      </c>
      <c r="D28" s="3">
        <v>0</v>
      </c>
      <c r="E28" s="3" t="s">
        <v>700</v>
      </c>
    </row>
    <row r="29" spans="2:5">
      <c r="B29" s="18">
        <v>46156</v>
      </c>
      <c r="C29" s="3" t="s">
        <v>631</v>
      </c>
      <c r="D29" s="3">
        <v>0</v>
      </c>
      <c r="E29" s="3" t="s">
        <v>700</v>
      </c>
    </row>
    <row r="30" spans="2:5">
      <c r="B30" s="18">
        <v>46156</v>
      </c>
      <c r="C30" s="3" t="s">
        <v>263</v>
      </c>
      <c r="D30" s="3">
        <v>0</v>
      </c>
      <c r="E30" s="3" t="s">
        <v>700</v>
      </c>
    </row>
    <row r="31" spans="2:5">
      <c r="B31" s="18">
        <v>46157</v>
      </c>
      <c r="C31" s="3" t="s">
        <v>684</v>
      </c>
      <c r="D31" s="3">
        <v>0</v>
      </c>
      <c r="E31" s="3" t="s">
        <v>710</v>
      </c>
    </row>
    <row r="32" spans="2:5">
      <c r="B32" s="18">
        <v>46157</v>
      </c>
      <c r="C32" s="3" t="s">
        <v>711</v>
      </c>
      <c r="D32" s="3">
        <v>1</v>
      </c>
      <c r="E32" s="3" t="s">
        <v>712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C1:E1"/>
    <mergeCell ref="F3:F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workbookViewId="0">
      <selection activeCell="M17" sqref="M17"/>
    </sheetView>
  </sheetViews>
  <sheetFormatPr defaultColWidth="9.64545454545454" defaultRowHeight="14" outlineLevelCol="5"/>
  <cols>
    <col min="1" max="1" width="17.6181818181818" customWidth="1"/>
    <col min="2" max="2" width="15.9090909090909" customWidth="1"/>
    <col min="5" max="5" width="10.3181818181818" customWidth="1"/>
    <col min="6" max="6" width="12.9090909090909" customWidth="1"/>
  </cols>
  <sheetData>
    <row r="1" spans="1:6">
      <c r="A1" s="1" t="s">
        <v>615</v>
      </c>
      <c r="B1" s="2">
        <v>15072045813</v>
      </c>
      <c r="E1" s="3" t="s">
        <v>517</v>
      </c>
      <c r="F1" s="3">
        <v>19996075293</v>
      </c>
    </row>
    <row r="2" spans="1:6">
      <c r="A2" s="4" t="s">
        <v>216</v>
      </c>
      <c r="B2" s="5">
        <v>18071259271</v>
      </c>
      <c r="E2" s="3" t="s">
        <v>372</v>
      </c>
      <c r="F2" s="3">
        <v>13476804545</v>
      </c>
    </row>
    <row r="3" spans="1:6">
      <c r="A3" s="6" t="s">
        <v>227</v>
      </c>
      <c r="B3" s="5">
        <v>18956318176</v>
      </c>
      <c r="E3" s="3" t="s">
        <v>668</v>
      </c>
      <c r="F3" s="3">
        <v>13638641850</v>
      </c>
    </row>
    <row r="4" spans="1:6">
      <c r="A4" s="4" t="s">
        <v>263</v>
      </c>
      <c r="B4" s="5">
        <v>15671703099</v>
      </c>
      <c r="E4" s="3" t="s">
        <v>560</v>
      </c>
      <c r="F4" s="3">
        <v>17882699480</v>
      </c>
    </row>
    <row r="5" spans="1:6">
      <c r="A5" s="6" t="s">
        <v>650</v>
      </c>
      <c r="B5" s="5">
        <v>18007111197</v>
      </c>
      <c r="E5" s="3" t="s">
        <v>713</v>
      </c>
      <c r="F5" s="3">
        <v>15327284633</v>
      </c>
    </row>
    <row r="6" spans="1:6">
      <c r="A6" s="4" t="s">
        <v>275</v>
      </c>
      <c r="B6" s="5">
        <v>18627055627</v>
      </c>
      <c r="E6" s="3" t="s">
        <v>293</v>
      </c>
      <c r="F6" s="3">
        <v>15207135974</v>
      </c>
    </row>
    <row r="7" spans="1:6">
      <c r="A7" s="7" t="s">
        <v>278</v>
      </c>
      <c r="B7" s="8">
        <v>13667257692</v>
      </c>
      <c r="E7" s="3" t="s">
        <v>650</v>
      </c>
      <c r="F7" s="3">
        <v>18007111197</v>
      </c>
    </row>
    <row r="8" spans="1:6">
      <c r="A8" s="4" t="s">
        <v>287</v>
      </c>
      <c r="B8" s="5">
        <v>17671056671</v>
      </c>
      <c r="E8" s="3" t="s">
        <v>714</v>
      </c>
      <c r="F8" s="3">
        <v>18805875414</v>
      </c>
    </row>
    <row r="9" spans="1:6">
      <c r="A9" s="4" t="s">
        <v>289</v>
      </c>
      <c r="B9" s="5">
        <v>15072027407</v>
      </c>
      <c r="E9" s="3" t="s">
        <v>715</v>
      </c>
      <c r="F9" s="3" t="s">
        <v>716</v>
      </c>
    </row>
    <row r="10" spans="1:6">
      <c r="A10" s="4" t="s">
        <v>293</v>
      </c>
      <c r="B10" s="5">
        <v>15207135974</v>
      </c>
      <c r="E10" s="3" t="s">
        <v>717</v>
      </c>
      <c r="F10" s="3">
        <v>18802488227</v>
      </c>
    </row>
    <row r="11" spans="1:6">
      <c r="A11" s="4" t="s">
        <v>300</v>
      </c>
      <c r="B11" s="5">
        <v>18752385401</v>
      </c>
      <c r="E11" s="3" t="s">
        <v>518</v>
      </c>
      <c r="F11" s="3">
        <v>18671549660</v>
      </c>
    </row>
    <row r="12" spans="1:6">
      <c r="A12" s="4" t="s">
        <v>309</v>
      </c>
      <c r="B12" s="5">
        <v>13523628059</v>
      </c>
      <c r="E12" s="3" t="s">
        <v>689</v>
      </c>
      <c r="F12" s="3">
        <v>18627086000</v>
      </c>
    </row>
    <row r="13" spans="1:6">
      <c r="A13" s="6" t="s">
        <v>311</v>
      </c>
      <c r="B13" s="5">
        <v>18771968229</v>
      </c>
      <c r="E13" s="3" t="s">
        <v>552</v>
      </c>
      <c r="F13" s="3">
        <v>15595907669</v>
      </c>
    </row>
    <row r="14" spans="1:6">
      <c r="A14" s="4" t="s">
        <v>320</v>
      </c>
      <c r="B14" s="5">
        <v>15903529466</v>
      </c>
      <c r="E14" s="3" t="s">
        <v>425</v>
      </c>
      <c r="F14" s="3">
        <v>13477526184</v>
      </c>
    </row>
    <row r="15" spans="1:6">
      <c r="A15" s="4" t="s">
        <v>322</v>
      </c>
      <c r="B15" s="5">
        <v>19313937203</v>
      </c>
      <c r="E15" s="3" t="s">
        <v>718</v>
      </c>
      <c r="F15" s="3">
        <v>13597468355</v>
      </c>
    </row>
    <row r="16" spans="1:6">
      <c r="A16" s="4" t="s">
        <v>326</v>
      </c>
      <c r="B16" s="5">
        <v>18671653551</v>
      </c>
      <c r="E16" s="3" t="s">
        <v>719</v>
      </c>
      <c r="F16" s="3">
        <v>18608659777</v>
      </c>
    </row>
    <row r="17" spans="1:6">
      <c r="A17" s="4" t="s">
        <v>327</v>
      </c>
      <c r="B17" s="5">
        <v>17771426190</v>
      </c>
      <c r="E17" s="3" t="s">
        <v>719</v>
      </c>
      <c r="F17" s="3">
        <v>18608659777</v>
      </c>
    </row>
    <row r="18" spans="1:6">
      <c r="A18" s="4" t="s">
        <v>328</v>
      </c>
      <c r="B18" s="5">
        <v>13550893855</v>
      </c>
      <c r="E18" s="3" t="s">
        <v>529</v>
      </c>
      <c r="F18" s="3">
        <v>15629060052</v>
      </c>
    </row>
    <row r="19" spans="1:6">
      <c r="A19" s="6" t="s">
        <v>334</v>
      </c>
      <c r="B19" s="5">
        <v>17740594192</v>
      </c>
      <c r="E19" s="3" t="s">
        <v>465</v>
      </c>
      <c r="F19" s="3">
        <v>17671619261</v>
      </c>
    </row>
    <row r="20" spans="1:6">
      <c r="A20" s="6" t="s">
        <v>335</v>
      </c>
      <c r="B20" s="5">
        <v>13296522095</v>
      </c>
      <c r="E20" s="3" t="s">
        <v>476</v>
      </c>
      <c r="F20" s="3">
        <v>15927582770</v>
      </c>
    </row>
    <row r="21" spans="1:6">
      <c r="A21" s="4" t="s">
        <v>339</v>
      </c>
      <c r="B21" s="5">
        <v>15327284633</v>
      </c>
      <c r="E21" s="3" t="s">
        <v>523</v>
      </c>
      <c r="F21" s="3">
        <v>13872258310</v>
      </c>
    </row>
    <row r="22" spans="1:6">
      <c r="A22" s="4" t="s">
        <v>347</v>
      </c>
      <c r="B22" s="5">
        <v>17510451146</v>
      </c>
      <c r="E22" s="3" t="s">
        <v>381</v>
      </c>
      <c r="F22" s="3">
        <v>19831026008</v>
      </c>
    </row>
    <row r="23" spans="1:6">
      <c r="A23" s="4" t="s">
        <v>356</v>
      </c>
      <c r="B23" s="5">
        <v>13971954577</v>
      </c>
      <c r="E23" s="3" t="s">
        <v>486</v>
      </c>
      <c r="F23" s="3">
        <v>15549788760</v>
      </c>
    </row>
    <row r="24" spans="1:6">
      <c r="A24" s="4" t="s">
        <v>360</v>
      </c>
      <c r="B24" s="5">
        <v>19972480747</v>
      </c>
      <c r="E24" s="3" t="s">
        <v>424</v>
      </c>
      <c r="F24" s="3">
        <v>15258235290</v>
      </c>
    </row>
    <row r="25" spans="1:6">
      <c r="A25" s="4" t="s">
        <v>601</v>
      </c>
      <c r="B25" s="5">
        <v>17370049980</v>
      </c>
      <c r="E25" s="3" t="s">
        <v>309</v>
      </c>
      <c r="F25" s="3">
        <v>13523628059</v>
      </c>
    </row>
    <row r="26" spans="1:6">
      <c r="A26" s="9" t="s">
        <v>372</v>
      </c>
      <c r="B26" s="10">
        <v>13476804545</v>
      </c>
      <c r="E26" s="3" t="s">
        <v>278</v>
      </c>
      <c r="F26" s="3">
        <v>13667257692</v>
      </c>
    </row>
    <row r="27" spans="1:6">
      <c r="A27" s="4" t="s">
        <v>377</v>
      </c>
      <c r="B27" s="5">
        <v>15027110579</v>
      </c>
      <c r="E27" s="3" t="s">
        <v>391</v>
      </c>
      <c r="F27" s="3">
        <v>18907195291</v>
      </c>
    </row>
    <row r="28" spans="1:6">
      <c r="A28" s="4" t="s">
        <v>379</v>
      </c>
      <c r="B28" s="5">
        <v>13871631525</v>
      </c>
      <c r="E28" s="3" t="s">
        <v>460</v>
      </c>
      <c r="F28" s="3">
        <v>18900717268</v>
      </c>
    </row>
    <row r="29" spans="1:6">
      <c r="A29" s="6" t="s">
        <v>381</v>
      </c>
      <c r="B29" s="5">
        <v>19831026008</v>
      </c>
      <c r="E29" s="3" t="s">
        <v>287</v>
      </c>
      <c r="F29" s="3">
        <v>17671056671</v>
      </c>
    </row>
    <row r="30" spans="1:6">
      <c r="A30" s="4" t="s">
        <v>386</v>
      </c>
      <c r="B30" s="5">
        <v>13163242799</v>
      </c>
      <c r="E30" s="3" t="s">
        <v>379</v>
      </c>
      <c r="F30" s="3">
        <v>13871631525</v>
      </c>
    </row>
    <row r="31" spans="1:6">
      <c r="A31" s="4" t="s">
        <v>391</v>
      </c>
      <c r="B31" s="5">
        <v>18907195291</v>
      </c>
      <c r="E31" s="3" t="s">
        <v>377</v>
      </c>
      <c r="F31" s="3">
        <v>15027110579</v>
      </c>
    </row>
    <row r="32" spans="1:6">
      <c r="A32" s="4" t="s">
        <v>393</v>
      </c>
      <c r="B32" s="5">
        <v>13597468355</v>
      </c>
      <c r="E32" s="3" t="s">
        <v>720</v>
      </c>
      <c r="F32" s="3">
        <v>13217188071</v>
      </c>
    </row>
    <row r="33" spans="1:6">
      <c r="A33" s="11" t="s">
        <v>400</v>
      </c>
      <c r="B33" s="12">
        <v>13163375018</v>
      </c>
      <c r="E33" s="3" t="s">
        <v>289</v>
      </c>
      <c r="F33" s="3">
        <v>15072027407</v>
      </c>
    </row>
    <row r="34" spans="1:6">
      <c r="A34" s="4" t="s">
        <v>408</v>
      </c>
      <c r="B34" s="5">
        <v>18390895217</v>
      </c>
      <c r="E34" s="3" t="s">
        <v>400</v>
      </c>
      <c r="F34" s="3">
        <v>13163375018</v>
      </c>
    </row>
    <row r="35" spans="1:6">
      <c r="A35" s="6" t="s">
        <v>413</v>
      </c>
      <c r="B35" s="5">
        <v>19079256623</v>
      </c>
      <c r="E35" s="3" t="s">
        <v>721</v>
      </c>
      <c r="F35" s="3">
        <v>15871464378</v>
      </c>
    </row>
    <row r="36" spans="1:6">
      <c r="A36" s="6" t="s">
        <v>420</v>
      </c>
      <c r="B36" s="5">
        <v>13899505970</v>
      </c>
      <c r="E36" s="3" t="s">
        <v>420</v>
      </c>
      <c r="F36" s="3">
        <v>13899505970</v>
      </c>
    </row>
    <row r="37" spans="1:6">
      <c r="A37" s="6" t="s">
        <v>424</v>
      </c>
      <c r="B37" s="5">
        <v>15258235290</v>
      </c>
      <c r="E37" s="3" t="s">
        <v>535</v>
      </c>
      <c r="F37" s="3">
        <v>15971367262</v>
      </c>
    </row>
    <row r="38" spans="1:6">
      <c r="A38" s="6" t="s">
        <v>425</v>
      </c>
      <c r="B38" s="5">
        <v>13477526184</v>
      </c>
      <c r="E38" s="3" t="s">
        <v>722</v>
      </c>
      <c r="F38" s="3">
        <v>18327034024</v>
      </c>
    </row>
    <row r="39" spans="1:6">
      <c r="A39" s="4" t="s">
        <v>426</v>
      </c>
      <c r="B39" s="5">
        <v>18608659777</v>
      </c>
      <c r="E39" s="3" t="s">
        <v>499</v>
      </c>
      <c r="F39" s="3">
        <v>13164604605</v>
      </c>
    </row>
    <row r="40" spans="1:6">
      <c r="A40" s="4" t="s">
        <v>660</v>
      </c>
      <c r="B40" s="5">
        <v>18976473563</v>
      </c>
      <c r="E40" s="3" t="s">
        <v>687</v>
      </c>
      <c r="F40" s="3">
        <v>18086218511</v>
      </c>
    </row>
    <row r="41" spans="1:6">
      <c r="A41" s="4" t="s">
        <v>443</v>
      </c>
      <c r="B41" s="5">
        <v>18627086000</v>
      </c>
      <c r="E41" s="3" t="s">
        <v>526</v>
      </c>
      <c r="F41" s="3">
        <v>15527456700</v>
      </c>
    </row>
    <row r="42" spans="1:6">
      <c r="A42" s="6" t="s">
        <v>447</v>
      </c>
      <c r="B42" s="5">
        <v>13826326299</v>
      </c>
      <c r="E42" s="3" t="s">
        <v>454</v>
      </c>
      <c r="F42" s="3">
        <v>13281212983</v>
      </c>
    </row>
    <row r="43" spans="1:6">
      <c r="A43" s="4" t="s">
        <v>454</v>
      </c>
      <c r="B43" s="5">
        <v>13281212983</v>
      </c>
      <c r="E43" s="3" t="s">
        <v>723</v>
      </c>
      <c r="F43" s="3">
        <v>13296522095</v>
      </c>
    </row>
    <row r="44" spans="1:6">
      <c r="A44" s="6" t="s">
        <v>457</v>
      </c>
      <c r="B44" s="5">
        <v>17307230923</v>
      </c>
      <c r="E44" s="3" t="s">
        <v>534</v>
      </c>
      <c r="F44" s="3">
        <v>15927370959</v>
      </c>
    </row>
    <row r="45" spans="1:6">
      <c r="A45" s="6" t="s">
        <v>460</v>
      </c>
      <c r="B45" s="5">
        <v>18900717268</v>
      </c>
      <c r="E45" s="3" t="s">
        <v>724</v>
      </c>
      <c r="F45" s="3">
        <v>15903529466</v>
      </c>
    </row>
    <row r="46" spans="1:6">
      <c r="A46" s="6" t="s">
        <v>461</v>
      </c>
      <c r="B46" s="5">
        <v>18805875414</v>
      </c>
      <c r="E46" s="3" t="s">
        <v>725</v>
      </c>
      <c r="F46" s="3">
        <v>19313937203</v>
      </c>
    </row>
    <row r="47" spans="1:6">
      <c r="A47" s="6" t="s">
        <v>464</v>
      </c>
      <c r="B47" s="5">
        <v>15771134645</v>
      </c>
      <c r="E47" s="3" t="s">
        <v>216</v>
      </c>
      <c r="F47" s="3">
        <v>18071259271</v>
      </c>
    </row>
    <row r="48" spans="1:6">
      <c r="A48" s="4" t="s">
        <v>465</v>
      </c>
      <c r="B48" s="5">
        <v>17671619261</v>
      </c>
      <c r="E48" s="3" t="s">
        <v>573</v>
      </c>
      <c r="F48" s="3">
        <v>15871443272</v>
      </c>
    </row>
    <row r="49" spans="1:6">
      <c r="A49" s="4" t="s">
        <v>476</v>
      </c>
      <c r="B49" s="5">
        <v>15927582770</v>
      </c>
      <c r="E49" s="3" t="s">
        <v>328</v>
      </c>
      <c r="F49" s="3">
        <v>13550893855</v>
      </c>
    </row>
    <row r="50" spans="1:6">
      <c r="A50" s="4" t="s">
        <v>477</v>
      </c>
      <c r="B50" s="5">
        <v>18327034024</v>
      </c>
      <c r="E50" s="3" t="s">
        <v>726</v>
      </c>
      <c r="F50" s="3">
        <v>15071196973</v>
      </c>
    </row>
    <row r="51" spans="1:6">
      <c r="A51" s="4" t="s">
        <v>486</v>
      </c>
      <c r="B51" s="5">
        <v>15549788760</v>
      </c>
      <c r="E51" s="3" t="s">
        <v>571</v>
      </c>
      <c r="F51" s="3">
        <v>13720158501</v>
      </c>
    </row>
    <row r="52" spans="1:6">
      <c r="A52" s="4" t="s">
        <v>499</v>
      </c>
      <c r="B52" s="5">
        <v>13164604605</v>
      </c>
      <c r="E52" s="3" t="s">
        <v>360</v>
      </c>
      <c r="F52" s="3">
        <v>19972480747</v>
      </c>
    </row>
    <row r="53" spans="1:6">
      <c r="A53" s="4" t="s">
        <v>505</v>
      </c>
      <c r="B53" s="5">
        <v>13477014875</v>
      </c>
      <c r="E53" s="3" t="s">
        <v>685</v>
      </c>
      <c r="F53" s="3">
        <v>15671703099</v>
      </c>
    </row>
    <row r="54" spans="1:6">
      <c r="A54" s="4" t="s">
        <v>320</v>
      </c>
      <c r="B54" s="5">
        <v>15903529466</v>
      </c>
      <c r="E54" s="3" t="s">
        <v>564</v>
      </c>
      <c r="F54" s="3">
        <v>17671001501</v>
      </c>
    </row>
    <row r="55" spans="1:6">
      <c r="A55" s="4" t="s">
        <v>508</v>
      </c>
      <c r="B55" s="5">
        <v>15871464378</v>
      </c>
      <c r="E55" s="3" t="s">
        <v>549</v>
      </c>
      <c r="F55" s="3">
        <v>13658102152</v>
      </c>
    </row>
    <row r="56" spans="1:6">
      <c r="A56" s="9" t="s">
        <v>517</v>
      </c>
      <c r="B56" s="10">
        <v>19996075293</v>
      </c>
      <c r="E56" s="3" t="s">
        <v>356</v>
      </c>
      <c r="F56" s="3">
        <v>13971954577</v>
      </c>
    </row>
    <row r="57" spans="1:6">
      <c r="A57" s="4" t="s">
        <v>518</v>
      </c>
      <c r="B57" s="5">
        <v>19225873457</v>
      </c>
      <c r="E57" s="3" t="s">
        <v>686</v>
      </c>
      <c r="F57" s="3">
        <v>18671653551</v>
      </c>
    </row>
    <row r="58" spans="1:6">
      <c r="A58" s="4" t="s">
        <v>523</v>
      </c>
      <c r="B58" s="5">
        <v>13872258310</v>
      </c>
      <c r="E58" s="3" t="s">
        <v>413</v>
      </c>
      <c r="F58" s="3">
        <v>19079256623</v>
      </c>
    </row>
    <row r="59" spans="1:6">
      <c r="A59" s="4" t="s">
        <v>526</v>
      </c>
      <c r="B59" s="5">
        <v>15527456700</v>
      </c>
      <c r="E59" s="3" t="s">
        <v>660</v>
      </c>
      <c r="F59" s="3">
        <v>18976473563</v>
      </c>
    </row>
    <row r="60" spans="1:6">
      <c r="A60" s="4" t="s">
        <v>527</v>
      </c>
      <c r="B60" s="5">
        <v>17607274357</v>
      </c>
      <c r="E60" s="3" t="s">
        <v>464</v>
      </c>
      <c r="F60" s="3">
        <v>15771134645</v>
      </c>
    </row>
    <row r="61" spans="1:6">
      <c r="A61" s="4" t="s">
        <v>529</v>
      </c>
      <c r="B61" s="5">
        <v>15629060052</v>
      </c>
      <c r="E61" s="3" t="s">
        <v>679</v>
      </c>
      <c r="F61" s="3">
        <v>13163242799</v>
      </c>
    </row>
    <row r="62" spans="1:6">
      <c r="A62" s="4" t="s">
        <v>530</v>
      </c>
      <c r="B62" s="5">
        <v>13217188071</v>
      </c>
      <c r="E62" s="3" t="s">
        <v>347</v>
      </c>
      <c r="F62" s="3">
        <v>19821488351</v>
      </c>
    </row>
    <row r="63" ht="24" customHeight="1" spans="1:6">
      <c r="A63" s="13" t="s">
        <v>531</v>
      </c>
      <c r="B63" s="14" t="s">
        <v>727</v>
      </c>
      <c r="E63" s="3" t="s">
        <v>505</v>
      </c>
      <c r="F63" s="3">
        <v>13477014875</v>
      </c>
    </row>
    <row r="64" spans="1:6">
      <c r="A64" s="9" t="s">
        <v>668</v>
      </c>
      <c r="B64" s="10">
        <v>13638641850</v>
      </c>
      <c r="E64" s="3" t="s">
        <v>546</v>
      </c>
      <c r="F64" s="3">
        <v>15527389052</v>
      </c>
    </row>
    <row r="65" spans="1:6">
      <c r="A65" s="4" t="s">
        <v>534</v>
      </c>
      <c r="B65" s="5">
        <v>15927370959</v>
      </c>
      <c r="E65" s="3" t="s">
        <v>227</v>
      </c>
      <c r="F65" s="3">
        <v>18956318176</v>
      </c>
    </row>
    <row r="66" spans="1:6">
      <c r="A66" s="4" t="s">
        <v>535</v>
      </c>
      <c r="B66" s="5">
        <v>15971367262</v>
      </c>
      <c r="E66" s="3" t="s">
        <v>615</v>
      </c>
      <c r="F66" s="3">
        <v>15072045813</v>
      </c>
    </row>
    <row r="67" spans="1:6">
      <c r="A67" s="4" t="s">
        <v>542</v>
      </c>
      <c r="B67" s="5">
        <v>13991988625</v>
      </c>
      <c r="E67" s="3" t="s">
        <v>728</v>
      </c>
      <c r="F67" s="3">
        <v>18507142877</v>
      </c>
    </row>
    <row r="68" spans="1:6">
      <c r="A68" s="4" t="s">
        <v>546</v>
      </c>
      <c r="B68" s="5">
        <v>15527389052</v>
      </c>
      <c r="E68" s="3" t="s">
        <v>457</v>
      </c>
      <c r="F68" s="3">
        <v>17307230923</v>
      </c>
    </row>
    <row r="69" spans="1:6">
      <c r="A69" s="4" t="s">
        <v>549</v>
      </c>
      <c r="B69" s="5">
        <v>13658102152</v>
      </c>
      <c r="E69" s="3" t="s">
        <v>311</v>
      </c>
      <c r="F69" s="3">
        <v>18771968229</v>
      </c>
    </row>
    <row r="70" spans="1:6">
      <c r="A70" s="4" t="s">
        <v>552</v>
      </c>
      <c r="B70" s="5">
        <v>15595907669</v>
      </c>
      <c r="E70" s="3" t="s">
        <v>527</v>
      </c>
      <c r="F70" s="3">
        <v>17607274357</v>
      </c>
    </row>
    <row r="71" spans="1:6">
      <c r="A71" s="4" t="s">
        <v>560</v>
      </c>
      <c r="B71" s="5">
        <v>17882699480</v>
      </c>
      <c r="E71" s="3" t="s">
        <v>408</v>
      </c>
      <c r="F71" s="3">
        <v>18390895217</v>
      </c>
    </row>
    <row r="72" spans="1:6">
      <c r="A72" s="4" t="s">
        <v>564</v>
      </c>
      <c r="B72" s="5">
        <v>17671001501</v>
      </c>
      <c r="E72" s="3" t="s">
        <v>447</v>
      </c>
      <c r="F72" s="3">
        <v>13826326299</v>
      </c>
    </row>
    <row r="73" spans="1:6">
      <c r="A73" s="4" t="s">
        <v>567</v>
      </c>
      <c r="B73" s="5">
        <v>15071196973</v>
      </c>
      <c r="E73" s="3" t="s">
        <v>729</v>
      </c>
      <c r="F73" s="3">
        <v>17771426190</v>
      </c>
    </row>
    <row r="74" spans="1:6">
      <c r="A74" s="4" t="s">
        <v>571</v>
      </c>
      <c r="B74" s="5">
        <v>13720158501</v>
      </c>
      <c r="E74" s="3" t="s">
        <v>730</v>
      </c>
      <c r="F74" s="3">
        <v>17370049980</v>
      </c>
    </row>
    <row r="75" spans="1:6">
      <c r="A75" s="4" t="s">
        <v>573</v>
      </c>
      <c r="B75" s="5">
        <v>15871443272</v>
      </c>
      <c r="E75" s="3" t="s">
        <v>300</v>
      </c>
      <c r="F75" s="3">
        <v>18752385401</v>
      </c>
    </row>
    <row r="76" spans="1:6">
      <c r="A76" s="4" t="s">
        <v>574</v>
      </c>
      <c r="B76" s="5">
        <v>18086218511</v>
      </c>
      <c r="E76" s="3" t="s">
        <v>690</v>
      </c>
      <c r="F76" s="3">
        <v>17740594192</v>
      </c>
    </row>
    <row r="77" spans="1:6">
      <c r="A77" s="4" t="s">
        <v>426</v>
      </c>
      <c r="B77" s="5">
        <v>18608659777</v>
      </c>
    </row>
  </sheetData>
  <conditionalFormatting sqref="B77">
    <cfRule type="expression" dxfId="0" priority="9">
      <formula>COUNTIF(今日订单表!#REF!,#REF!)&gt;0</formula>
    </cfRule>
    <cfRule type="expression" priority="10">
      <formula>SUMPRODUCT(--(TRIM(CLEAN(今日订单表!#REF!))=TRIM(CLEAN(B77))))&gt;0</formula>
    </cfRule>
    <cfRule type="expression" priority="11">
      <formula>SUMPRODUCT(--(TRIM(CLEAN(今日订单表!#REF!))=TRIM(CLEAN(B77))))&gt;0</formula>
    </cfRule>
  </conditionalFormatting>
  <conditionalFormatting sqref="B1:B76">
    <cfRule type="expression" dxfId="0" priority="13">
      <formula>COUNTIF(今日订单表!#REF!,#REF!)&gt;0</formula>
    </cfRule>
    <cfRule type="expression" priority="14">
      <formula>SUMPRODUCT(--(TRIM(CLEAN(今日订单表!#REF!))=TRIM(CLEAN(B1))))&gt;0</formula>
    </cfRule>
    <cfRule type="expression" priority="15">
      <formula>SUMPRODUCT(--(TRIM(CLEAN(今日订单表!#REF!))=TRIM(CLEAN(B1))))&gt;0</formula>
    </cfRule>
  </conditionalFormatting>
  <conditionalFormatting sqref="F1:F76">
    <cfRule type="expression" dxfId="3" priority="12">
      <formula>COUNTIF(客户主表!$C:$C,#REF!)=0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WWO_wpscloud_20260424123637-febe6525c7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客户主表</vt:lpstr>
      <vt:lpstr>今日订单表</vt:lpstr>
      <vt:lpstr>售后表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Gin</cp:lastModifiedBy>
  <dcterms:created xsi:type="dcterms:W3CDTF">2026-05-10T02:51:00Z</dcterms:created>
  <dcterms:modified xsi:type="dcterms:W3CDTF">2026-05-16T01:28:13Z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43EA53CD8EFE453591B723CBD474EC22_13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